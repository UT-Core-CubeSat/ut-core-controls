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filterPrivacy="1" codeName="ThisWorkbook"/>
  <xr:revisionPtr revIDLastSave="1" documentId="8_{16CCC2FC-8B86-4D49-9686-646F8DC7BD77}" xr6:coauthVersionLast="47" xr6:coauthVersionMax="47" xr10:uidLastSave="{AD61D480-8764-49E0-AD40-EAB0D6979511}"/>
  <bookViews>
    <workbookView xWindow="-108" yWindow="-108" windowWidth="23256" windowHeight="12720" tabRatio="415" xr2:uid="{00000000-000D-0000-FFFF-FFFF00000000}"/>
  </bookViews>
  <sheets>
    <sheet name="Color" sheetId="18" r:id="rId1"/>
  </sheets>
  <definedNames>
    <definedName name="_xlnm.Print_Titles" localSheetId="0">Color!$6:$9</definedName>
    <definedName name="Project_Start" localSheetId="0">Color!$C$6</definedName>
    <definedName name="Project_Start">#REF!</definedName>
    <definedName name="Scrolling_Increment" localSheetId="0">Color!$C$7</definedName>
    <definedName name="Scrolling_Increment">#REF!</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C6" i="18" l="1" a="1"/>
  <c r="C6" i="18" s="1"/>
  <c r="I7" i="18" s="1"/>
  <c r="I26" i="18" s="1"/>
  <c r="I6" i="18" l="1"/>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K21" i="18"/>
  <c r="K20" i="18"/>
  <c r="K31" i="18"/>
  <c r="K18" i="18"/>
  <c r="K24" i="18"/>
  <c r="K9" i="18"/>
  <c r="K25" i="18"/>
  <c r="K27" i="18"/>
  <c r="K34" i="18"/>
  <c r="K13" i="18"/>
  <c r="K14" i="18"/>
  <c r="K16" i="18"/>
  <c r="K22" i="18"/>
  <c r="K28" i="18"/>
  <c r="K32" i="18"/>
  <c r="K15" i="18"/>
  <c r="L7" i="18"/>
  <c r="L35" i="18" s="1"/>
  <c r="K19" i="18"/>
  <c r="K17" i="18"/>
  <c r="K23" i="18"/>
  <c r="K29" i="18"/>
  <c r="L29" i="18" l="1"/>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M33" i="18"/>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N21" i="18" l="1"/>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O13" i="18" l="1"/>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P34" i="18" l="1"/>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Q35" i="18" l="1"/>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R15" i="18" l="1"/>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7" i="18" l="1"/>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T18" i="18" l="1"/>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c r="U22" i="18" l="1"/>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V19" i="18" l="1"/>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W18" i="18" l="1"/>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C35" i="18" l="1"/>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29" i="18" l="1"/>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W25" i="18"/>
  <c r="AW29" i="18"/>
  <c r="AW14" i="18"/>
  <c r="AW18" i="18"/>
  <c r="AW17" i="18"/>
  <c r="AW16" i="18"/>
  <c r="AW15" i="18"/>
  <c r="AW24" i="18"/>
  <c r="AW20" i="18"/>
  <c r="AW12" i="18"/>
  <c r="AW30" i="18" l="1"/>
  <c r="AW26" i="18"/>
  <c r="AW31" i="18"/>
  <c r="AW33" i="18"/>
  <c r="AW22" i="18"/>
  <c r="AX7" i="18"/>
  <c r="AX31" i="18" s="1"/>
  <c r="AW21" i="18"/>
  <c r="AW32" i="18"/>
  <c r="AW11" i="18"/>
  <c r="AW27" i="18"/>
  <c r="AW34" i="18"/>
  <c r="AW9" i="18"/>
  <c r="AW13" i="18"/>
  <c r="AW19" i="18"/>
  <c r="AW23" i="18"/>
  <c r="AW35" i="18"/>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AZ35" i="18"/>
  <c r="AZ22" i="18"/>
  <c r="AZ28" i="18"/>
  <c r="AZ21" i="18" l="1"/>
  <c r="AZ33" i="18"/>
  <c r="AZ13" i="18"/>
  <c r="BA7" i="18"/>
  <c r="AZ18" i="18"/>
  <c r="AZ14" i="18"/>
  <c r="AZ24" i="18"/>
  <c r="AZ26" i="18"/>
  <c r="AZ34" i="18"/>
  <c r="AZ12" i="18"/>
  <c r="AZ19" i="18"/>
  <c r="AZ23" i="18"/>
  <c r="AZ16" i="18"/>
  <c r="AZ15" i="18"/>
  <c r="AZ27" i="18"/>
  <c r="AZ9" i="18"/>
  <c r="AZ20" i="18"/>
  <c r="AZ30" i="18"/>
  <c r="AZ11" i="18"/>
  <c r="AZ29" i="18"/>
  <c r="AZ31" i="18"/>
  <c r="AZ17" i="18"/>
  <c r="AZ25" i="18"/>
  <c r="BA34" i="18"/>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<sst xmlns="http://schemas.openxmlformats.org/spreadsheetml/2006/main" count="58" uniqueCount="34">
  <si>
    <t>PROJECT: CubeSat - Control</t>
  </si>
  <si>
    <t>Contoso, Ltd.</t>
  </si>
  <si>
    <t>Legend:</t>
  </si>
  <si>
    <t>On track</t>
  </si>
  <si>
    <t>Low risk</t>
  </si>
  <si>
    <t>Med risk</t>
  </si>
  <si>
    <t>High risk</t>
  </si>
  <si>
    <t>Unassigned</t>
  </si>
  <si>
    <t>Hayden Cook</t>
  </si>
  <si>
    <t>Project start date:</t>
  </si>
  <si>
    <t>Scrolling increment:</t>
  </si>
  <si>
    <t>Milestone description</t>
  </si>
  <si>
    <t>Category</t>
  </si>
  <si>
    <t>Assigned to</t>
  </si>
  <si>
    <t>Progress</t>
  </si>
  <si>
    <t>Start</t>
  </si>
  <si>
    <t>Days</t>
  </si>
  <si>
    <t>TITLE 1</t>
  </si>
  <si>
    <t>Task 1</t>
  </si>
  <si>
    <t>Goal</t>
  </si>
  <si>
    <t>Name</t>
  </si>
  <si>
    <t>Task 2</t>
  </si>
  <si>
    <t>Milestone</t>
  </si>
  <si>
    <t>Task 3</t>
  </si>
  <si>
    <t>Low Risk</t>
  </si>
  <si>
    <t>Task 4</t>
  </si>
  <si>
    <t>Task 5</t>
  </si>
  <si>
    <t>Med Risk</t>
  </si>
  <si>
    <t>TITLE 2</t>
  </si>
  <si>
    <t>High Risk</t>
  </si>
  <si>
    <t>On Track</t>
  </si>
  <si>
    <t>TITLE 3</t>
  </si>
  <si>
    <t>TITLE 4</t>
  </si>
  <si>
    <t>To add more data, 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</si>
</sst>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s>
  <fills count="1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2" borderId="0" applyNumberFormat="0" applyBorder="0" applyAlignment="0" applyProtection="0"/>
  </cellStyleXfs>
  <cellXfs count="7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2"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2"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2"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0" fontId="9" fillId="8" borderId="0" xfId="0" applyFont="1" applyFill="1"/>
    <xf numFmtId="164" fontId="1" fillId="9" borderId="8"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164" fontId="1" fillId="9" borderId="9" xfId="0" applyNumberFormat="1" applyFont="1" applyFill="1" applyBorder="1" applyAlignment="1">
      <alignment horizontal="center" vertical="center"/>
    </xf>
    <xf numFmtId="164" fontId="1" fillId="9" borderId="2" xfId="0" applyNumberFormat="1" applyFont="1" applyFill="1" applyBorder="1" applyAlignment="1">
      <alignment horizontal="center" vertical="center"/>
    </xf>
    <xf numFmtId="164" fontId="1" fillId="9" borderId="0" xfId="0" applyNumberFormat="1" applyFont="1" applyFill="1" applyAlignment="1">
      <alignment horizontal="center" vertical="center"/>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3" xfId="0" applyNumberFormat="1" applyFont="1" applyFill="1" applyBorder="1" applyAlignment="1">
      <alignment horizontal="center" vertical="center"/>
    </xf>
    <xf numFmtId="0" fontId="1" fillId="9" borderId="1" xfId="0" applyFont="1" applyFill="1" applyBorder="1" applyAlignment="1">
      <alignment horizontal="center" vertical="center" shrinkToFit="1"/>
    </xf>
    <xf numFmtId="0" fontId="14" fillId="0" borderId="0" xfId="0" applyFont="1" applyAlignment="1">
      <alignment horizontal="left" vertical="center" wrapText="1" indent="1"/>
    </xf>
    <xf numFmtId="0" fontId="3" fillId="0" borderId="0" xfId="0" applyFont="1" applyAlignment="1">
      <alignment horizontal="left" vertical="center" wrapText="1" indent="1"/>
    </xf>
    <xf numFmtId="0" fontId="17" fillId="8" borderId="0" xfId="0" applyFont="1" applyFill="1" applyAlignment="1">
      <alignment horizontal="left" vertical="center" indent="1"/>
    </xf>
    <xf numFmtId="0" fontId="17" fillId="8" borderId="0" xfId="0" applyFont="1" applyFill="1" applyAlignment="1">
      <alignment horizontal="center" vertical="center" wrapText="1"/>
    </xf>
    <xf numFmtId="0" fontId="12" fillId="5" borderId="0" xfId="0" applyFont="1" applyFill="1" applyAlignment="1">
      <alignment horizontal="center" vertical="center"/>
    </xf>
    <xf numFmtId="0" fontId="11" fillId="3" borderId="0" xfId="0" applyFont="1" applyFill="1" applyAlignment="1">
      <alignment horizontal="center" vertical="center"/>
    </xf>
    <xf numFmtId="0" fontId="21" fillId="8" borderId="0" xfId="5" applyFont="1" applyFill="1" applyAlignment="1">
      <alignment horizontal="left" vertical="center" indent="1"/>
    </xf>
    <xf numFmtId="0" fontId="20" fillId="8" borderId="0" xfId="0" applyFont="1" applyFill="1" applyAlignment="1">
      <alignment horizontal="center" vertical="center"/>
    </xf>
    <xf numFmtId="0" fontId="9" fillId="8" borderId="0" xfId="0" applyFont="1" applyFill="1" applyAlignment="1">
      <alignment horizontal="center" vertical="center"/>
    </xf>
    <xf numFmtId="0" fontId="12" fillId="4" borderId="0" xfId="11" applyFont="1" applyFill="1" applyAlignment="1">
      <alignment horizontal="center" vertical="center"/>
    </xf>
    <xf numFmtId="0" fontId="11" fillId="6" borderId="0" xfId="0" applyFont="1" applyFill="1" applyAlignment="1">
      <alignment horizontal="center" vertical="center"/>
    </xf>
    <xf numFmtId="0" fontId="12" fillId="7"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1">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0"/>
      <tableStyleElement type="headerRow" dxfId="29"/>
      <tableStyleElement type="firstRowStripe" dxfId="28"/>
      <tableStyleElement type="secondRow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2"/>
    <tableColumn id="2" xr3:uid="{4492A0B8-068F-4002-9E8D-E1F5FED367F0}" name="Category" dataDxfId="1"/>
    <tableColumn id="3" xr3:uid="{DF1A764E-7050-4528-B7F9-B6AB99372146}" name="Assigned to" dataDxfId="0"/>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tabSelected="1" showRuler="0" zoomScaleNormal="100" zoomScalePageLayoutView="70" workbookViewId="0">
      <selection activeCell="B2" sqref="B2:H2"/>
    </sheetView>
  </sheetViews>
  <sheetFormatPr defaultColWidth="8.85546875" defaultRowHeight="30" customHeight="1"/>
  <cols>
    <col min="1" max="1" width="4.7109375" style="6"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7"/>
      <c r="B2" s="64" t="s">
        <v>0</v>
      </c>
      <c r="C2" s="64"/>
      <c r="D2" s="64"/>
      <c r="E2" s="64"/>
      <c r="F2" s="64"/>
      <c r="G2" s="64"/>
      <c r="H2" s="64"/>
      <c r="I2" s="65"/>
      <c r="J2" s="65"/>
      <c r="K2" s="65"/>
      <c r="L2" s="65"/>
      <c r="M2" s="65"/>
      <c r="N2" s="65"/>
      <c r="O2" s="66"/>
      <c r="P2" s="66"/>
      <c r="Q2" s="66"/>
      <c r="R2" s="66"/>
      <c r="S2" s="66"/>
      <c r="T2" s="66"/>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row>
    <row r="3" spans="1:68" ht="19.899999999999999" customHeight="1">
      <c r="A3" s="7"/>
      <c r="B3" s="22"/>
      <c r="C3" s="23"/>
      <c r="D3" s="24"/>
      <c r="E3" s="24"/>
      <c r="F3" s="25"/>
      <c r="G3" s="24"/>
      <c r="H3" s="24"/>
      <c r="I3" s="38"/>
      <c r="J3" s="1"/>
      <c r="K3" s="1"/>
      <c r="L3" s="1"/>
    </row>
    <row r="4" spans="1:68" ht="30" customHeight="1">
      <c r="A4" s="7"/>
      <c r="B4" s="26" t="s">
        <v>1</v>
      </c>
      <c r="C4" s="27"/>
      <c r="D4" s="28"/>
      <c r="E4" s="29"/>
      <c r="F4" s="30"/>
      <c r="G4" s="31" t="s">
        <v>2</v>
      </c>
      <c r="H4" s="29"/>
      <c r="I4" s="67" t="s">
        <v>3</v>
      </c>
      <c r="J4" s="67"/>
      <c r="K4" s="67"/>
      <c r="L4" s="67"/>
      <c r="N4" s="68" t="s">
        <v>4</v>
      </c>
      <c r="O4" s="68"/>
      <c r="P4" s="68"/>
      <c r="Q4" s="68"/>
      <c r="S4" s="69" t="s">
        <v>5</v>
      </c>
      <c r="T4" s="69"/>
      <c r="U4" s="69"/>
      <c r="V4" s="69"/>
      <c r="X4" s="62" t="s">
        <v>6</v>
      </c>
      <c r="Y4" s="62"/>
      <c r="Z4" s="62"/>
      <c r="AA4" s="62"/>
      <c r="AC4" s="63" t="s">
        <v>7</v>
      </c>
      <c r="AD4" s="63"/>
      <c r="AE4" s="63"/>
      <c r="AF4" s="63"/>
    </row>
    <row r="5" spans="1:68" ht="30" customHeight="1">
      <c r="A5" s="7"/>
      <c r="B5" s="32" t="s">
        <v>8</v>
      </c>
      <c r="C5" s="28"/>
      <c r="D5" s="28"/>
      <c r="E5" s="29"/>
      <c r="F5" s="30"/>
      <c r="G5" s="29"/>
      <c r="H5" s="29"/>
    </row>
    <row r="6" spans="1:68" ht="30" customHeight="1">
      <c r="A6" s="7"/>
      <c r="B6" s="33" t="s">
        <v>9</v>
      </c>
      <c r="C6" s="34" cm="1">
        <f t="array" aca="1" ref="C6" ca="1">IFERROR(IF(MIN(Milestones43524[Start])=0,TODAY(),B11(Milestones43524[Start])),TODAY())</f>
        <v>45569</v>
      </c>
      <c r="D6" s="35"/>
      <c r="E6" s="29"/>
      <c r="F6" s="30"/>
      <c r="G6" s="29"/>
      <c r="H6" s="29"/>
      <c r="I6" s="45" t="str">
        <f ca="1">TEXT(I7,"mmmm")</f>
        <v>October</v>
      </c>
      <c r="J6" s="45"/>
      <c r="K6" s="45"/>
      <c r="L6" s="45"/>
      <c r="M6" s="45"/>
      <c r="N6" s="45"/>
      <c r="O6" s="45"/>
      <c r="P6" s="45" t="str">
        <f ca="1">IF(TEXT(P7,"mmmm")=I6,"",TEXT(P7,"mmmm"))</f>
        <v/>
      </c>
      <c r="Q6" s="45"/>
      <c r="R6" s="45"/>
      <c r="S6" s="45"/>
      <c r="T6" s="45"/>
      <c r="U6" s="45"/>
      <c r="V6" s="45"/>
      <c r="W6" s="45" t="str">
        <f ca="1">IF(OR(TEXT(W7,"mmmm")=P6,TEXT(W7,"mmmm")=I6),"",TEXT(W7,"mmmm"))</f>
        <v/>
      </c>
      <c r="X6" s="45"/>
      <c r="Y6" s="45"/>
      <c r="Z6" s="45"/>
      <c r="AA6" s="45"/>
      <c r="AB6" s="45"/>
      <c r="AC6" s="45"/>
      <c r="AD6" s="45" t="str">
        <f ca="1">IF(OR(TEXT(AD7,"mmmm")=W6,TEXT(AD7,"mmmm")=P6,TEXT(AD7,"mmmm")=I6),"",TEXT(AD7,"mmmm"))</f>
        <v/>
      </c>
      <c r="AE6" s="45"/>
      <c r="AF6" s="45"/>
      <c r="AG6" s="45"/>
      <c r="AH6" s="45"/>
      <c r="AI6" s="45"/>
      <c r="AJ6" s="45"/>
      <c r="AK6" s="45" t="str">
        <f ca="1">IF(OR(TEXT(AK7,"mmmm")=AD6,TEXT(AK7,"mmmm")=W6,TEXT(AK7,"mmmm")=P6,TEXT(AK7,"mmmm")=I6),"",TEXT(AK7,"mmmm"))</f>
        <v>November</v>
      </c>
      <c r="AL6" s="45"/>
      <c r="AM6" s="45"/>
      <c r="AN6" s="45"/>
      <c r="AO6" s="45"/>
      <c r="AP6" s="45"/>
      <c r="AQ6" s="45"/>
      <c r="AR6" s="45" t="str">
        <f ca="1">IF(OR(TEXT(AR7,"mmmm")=AK6,TEXT(AR7,"mmmm")=AD6,TEXT(AR7,"mmmm")=W6,TEXT(AR7,"mmmm")=P6),"",TEXT(AR7,"mmmm"))</f>
        <v/>
      </c>
      <c r="AS6" s="45"/>
      <c r="AT6" s="45"/>
      <c r="AU6" s="45"/>
      <c r="AV6" s="45"/>
      <c r="AW6" s="45"/>
      <c r="AX6" s="46"/>
      <c r="AY6" s="46" t="str">
        <f ca="1">IF(OR(TEXT(AY7,"mmmm")=AR6,TEXT(AY7,"mmmm")=AK6,TEXT(AY7,"mmmm")=AD6,TEXT(AY7,"mmmm")=W6),"",TEXT(AY7,"mmmm"))</f>
        <v/>
      </c>
      <c r="AZ6" s="46"/>
      <c r="BA6" s="46"/>
      <c r="BB6" s="47"/>
      <c r="BC6" s="44"/>
      <c r="BD6" s="44"/>
      <c r="BE6" s="44"/>
      <c r="BF6" s="44" t="str">
        <f ca="1">IF(OR(TEXT(BF7,"mmmm")=AY6,TEXT(BF7,"mmmm")=AR6,TEXT(BF7,"mmmm")=AK6,TEXT(BF7,"mmmm")=AD6),"",TEXT(BF7,"mmmm"))</f>
        <v/>
      </c>
      <c r="BG6" s="44"/>
      <c r="BH6" s="44"/>
      <c r="BI6" s="44"/>
      <c r="BJ6" s="44"/>
      <c r="BK6" s="44"/>
      <c r="BL6" s="44"/>
    </row>
    <row r="7" spans="1:68" ht="30" customHeight="1">
      <c r="A7" s="7"/>
      <c r="B7" s="33" t="s">
        <v>10</v>
      </c>
      <c r="C7" s="36">
        <v>5</v>
      </c>
      <c r="D7" s="28"/>
      <c r="E7" s="29"/>
      <c r="F7" s="29"/>
      <c r="G7" s="29"/>
      <c r="H7" s="37"/>
      <c r="I7" s="49">
        <f ca="1">IFERROR(Project_Start+Scrolling_Increment,TODAY())</f>
        <v>45574</v>
      </c>
      <c r="J7" s="50">
        <f ca="1">I7+1</f>
        <v>45575</v>
      </c>
      <c r="K7" s="50">
        <f t="shared" ref="K7:AX7" ca="1" si="0">J7+1</f>
        <v>45576</v>
      </c>
      <c r="L7" s="50">
        <f t="shared" ca="1" si="0"/>
        <v>45577</v>
      </c>
      <c r="M7" s="50">
        <f t="shared" ca="1" si="0"/>
        <v>45578</v>
      </c>
      <c r="N7" s="50">
        <f t="shared" ca="1" si="0"/>
        <v>45579</v>
      </c>
      <c r="O7" s="51">
        <f t="shared" ca="1" si="0"/>
        <v>45580</v>
      </c>
      <c r="P7" s="50">
        <f ca="1">O7+1</f>
        <v>45581</v>
      </c>
      <c r="Q7" s="50">
        <f ca="1">P7+1</f>
        <v>45582</v>
      </c>
      <c r="R7" s="50">
        <f t="shared" ca="1" si="0"/>
        <v>45583</v>
      </c>
      <c r="S7" s="50">
        <f t="shared" ca="1" si="0"/>
        <v>45584</v>
      </c>
      <c r="T7" s="50">
        <f t="shared" ca="1" si="0"/>
        <v>45585</v>
      </c>
      <c r="U7" s="50">
        <f t="shared" ca="1" si="0"/>
        <v>45586</v>
      </c>
      <c r="V7" s="51">
        <f t="shared" ca="1" si="0"/>
        <v>45587</v>
      </c>
      <c r="W7" s="50">
        <f ca="1">V7+1</f>
        <v>45588</v>
      </c>
      <c r="X7" s="50">
        <f ca="1">W7+1</f>
        <v>45589</v>
      </c>
      <c r="Y7" s="50">
        <f t="shared" ca="1" si="0"/>
        <v>45590</v>
      </c>
      <c r="Z7" s="50">
        <f t="shared" ca="1" si="0"/>
        <v>45591</v>
      </c>
      <c r="AA7" s="50">
        <f t="shared" ca="1" si="0"/>
        <v>45592</v>
      </c>
      <c r="AB7" s="50">
        <f t="shared" ca="1" si="0"/>
        <v>45593</v>
      </c>
      <c r="AC7" s="51">
        <f t="shared" ca="1" si="0"/>
        <v>45594</v>
      </c>
      <c r="AD7" s="50">
        <f ca="1">AC7+1</f>
        <v>45595</v>
      </c>
      <c r="AE7" s="50">
        <f ca="1">AD7+1</f>
        <v>45596</v>
      </c>
      <c r="AF7" s="50">
        <f t="shared" ca="1" si="0"/>
        <v>45597</v>
      </c>
      <c r="AG7" s="50">
        <f t="shared" ca="1" si="0"/>
        <v>45598</v>
      </c>
      <c r="AH7" s="50">
        <f t="shared" ca="1" si="0"/>
        <v>45599</v>
      </c>
      <c r="AI7" s="50">
        <f t="shared" ca="1" si="0"/>
        <v>45600</v>
      </c>
      <c r="AJ7" s="51">
        <f t="shared" ca="1" si="0"/>
        <v>45601</v>
      </c>
      <c r="AK7" s="50">
        <f ca="1">AJ7+1</f>
        <v>45602</v>
      </c>
      <c r="AL7" s="50">
        <f ca="1">AK7+1</f>
        <v>45603</v>
      </c>
      <c r="AM7" s="50">
        <f t="shared" ca="1" si="0"/>
        <v>45604</v>
      </c>
      <c r="AN7" s="50">
        <f t="shared" ca="1" si="0"/>
        <v>45605</v>
      </c>
      <c r="AO7" s="50">
        <f t="shared" ca="1" si="0"/>
        <v>45606</v>
      </c>
      <c r="AP7" s="50">
        <f t="shared" ca="1" si="0"/>
        <v>45607</v>
      </c>
      <c r="AQ7" s="51">
        <f t="shared" ca="1" si="0"/>
        <v>45608</v>
      </c>
      <c r="AR7" s="50">
        <f ca="1">AQ7+1</f>
        <v>45609</v>
      </c>
      <c r="AS7" s="50">
        <f ca="1">AR7+1</f>
        <v>45610</v>
      </c>
      <c r="AT7" s="50">
        <f t="shared" ca="1" si="0"/>
        <v>45611</v>
      </c>
      <c r="AU7" s="50">
        <f t="shared" ca="1" si="0"/>
        <v>45612</v>
      </c>
      <c r="AV7" s="50">
        <f t="shared" ca="1" si="0"/>
        <v>45613</v>
      </c>
      <c r="AW7" s="50">
        <f t="shared" ca="1" si="0"/>
        <v>45614</v>
      </c>
      <c r="AX7" s="51">
        <f t="shared" ca="1" si="0"/>
        <v>45615</v>
      </c>
      <c r="AY7" s="50">
        <f ca="1">AX7+1</f>
        <v>45616</v>
      </c>
      <c r="AZ7" s="50">
        <f ca="1">AY7+1</f>
        <v>45617</v>
      </c>
      <c r="BA7" s="50">
        <f t="shared" ref="BA7:BE7" ca="1" si="1">AZ7+1</f>
        <v>45618</v>
      </c>
      <c r="BB7" s="50">
        <f t="shared" ca="1" si="1"/>
        <v>45619</v>
      </c>
      <c r="BC7" s="50">
        <f t="shared" ca="1" si="1"/>
        <v>45620</v>
      </c>
      <c r="BD7" s="50">
        <f t="shared" ca="1" si="1"/>
        <v>45621</v>
      </c>
      <c r="BE7" s="51">
        <f t="shared" ca="1" si="1"/>
        <v>45622</v>
      </c>
      <c r="BF7" s="50">
        <f ca="1">BE7+1</f>
        <v>45623</v>
      </c>
      <c r="BG7" s="50">
        <f ca="1">BF7+1</f>
        <v>45624</v>
      </c>
      <c r="BH7" s="50">
        <f t="shared" ref="BH7:BL7" ca="1" si="2">BG7+1</f>
        <v>45625</v>
      </c>
      <c r="BI7" s="50">
        <f t="shared" ca="1" si="2"/>
        <v>45626</v>
      </c>
      <c r="BJ7" s="50">
        <f t="shared" ca="1" si="2"/>
        <v>45627</v>
      </c>
      <c r="BK7" s="50">
        <f t="shared" ca="1" si="2"/>
        <v>45628</v>
      </c>
      <c r="BL7" s="51">
        <f t="shared" ca="1" si="2"/>
        <v>45629</v>
      </c>
    </row>
    <row r="8" spans="1:68" ht="19.899999999999999" customHeight="1">
      <c r="A8" s="7"/>
      <c r="B8" s="28"/>
      <c r="C8" s="28"/>
      <c r="D8" s="28"/>
      <c r="E8" s="29"/>
      <c r="F8" s="29"/>
      <c r="G8" s="29"/>
      <c r="H8" s="37"/>
      <c r="I8" s="52"/>
      <c r="J8" s="53"/>
      <c r="K8" s="53"/>
      <c r="L8" s="53"/>
      <c r="M8" s="53"/>
      <c r="N8" s="53"/>
      <c r="O8" s="53"/>
      <c r="P8" s="54"/>
      <c r="Q8" s="53"/>
      <c r="R8" s="53"/>
      <c r="S8" s="53"/>
      <c r="T8" s="53"/>
      <c r="U8" s="53"/>
      <c r="V8" s="55"/>
      <c r="W8" s="53"/>
      <c r="X8" s="53"/>
      <c r="Y8" s="53"/>
      <c r="Z8" s="53"/>
      <c r="AA8" s="53"/>
      <c r="AB8" s="53"/>
      <c r="AC8" s="55"/>
      <c r="AD8" s="53"/>
      <c r="AE8" s="53"/>
      <c r="AF8" s="53"/>
      <c r="AG8" s="53"/>
      <c r="AH8" s="53"/>
      <c r="AI8" s="53"/>
      <c r="AJ8" s="55"/>
      <c r="AK8" s="53"/>
      <c r="AL8" s="53"/>
      <c r="AM8" s="53"/>
      <c r="AN8" s="53"/>
      <c r="AO8" s="53"/>
      <c r="AP8" s="53"/>
      <c r="AQ8" s="55"/>
      <c r="AR8" s="53"/>
      <c r="AS8" s="53"/>
      <c r="AT8" s="53"/>
      <c r="AU8" s="53"/>
      <c r="AV8" s="53"/>
      <c r="AW8" s="53"/>
      <c r="AX8" s="55"/>
      <c r="AY8" s="53"/>
      <c r="AZ8" s="53"/>
      <c r="BA8" s="53"/>
      <c r="BB8" s="53"/>
      <c r="BC8" s="53"/>
      <c r="BD8" s="53"/>
      <c r="BE8" s="55"/>
      <c r="BF8" s="53"/>
      <c r="BG8" s="53"/>
      <c r="BH8" s="53"/>
      <c r="BI8" s="53"/>
      <c r="BJ8" s="53"/>
      <c r="BK8" s="53"/>
      <c r="BL8" s="56"/>
    </row>
    <row r="9" spans="1:68" ht="40.15" customHeight="1">
      <c r="A9" s="7"/>
      <c r="B9" s="60" t="s">
        <v>11</v>
      </c>
      <c r="C9" s="61" t="s">
        <v>12</v>
      </c>
      <c r="D9" s="61" t="s">
        <v>13</v>
      </c>
      <c r="E9" s="61" t="s">
        <v>14</v>
      </c>
      <c r="F9" s="61" t="s">
        <v>15</v>
      </c>
      <c r="G9" s="61" t="s">
        <v>16</v>
      </c>
      <c r="H9" s="42"/>
      <c r="I9" s="57" t="str">
        <f t="shared" ref="I9:BL9" ca="1" si="3">LEFT(TEXT(I7,"ddd"),1)</f>
        <v>W</v>
      </c>
      <c r="J9" s="57" t="str">
        <f t="shared" ca="1" si="3"/>
        <v>T</v>
      </c>
      <c r="K9" s="57" t="str">
        <f t="shared" ca="1" si="3"/>
        <v>F</v>
      </c>
      <c r="L9" s="57" t="str">
        <f t="shared" ca="1" si="3"/>
        <v>S</v>
      </c>
      <c r="M9" s="57" t="str">
        <f t="shared" ca="1" si="3"/>
        <v>S</v>
      </c>
      <c r="N9" s="57" t="str">
        <f t="shared" ca="1" si="3"/>
        <v>M</v>
      </c>
      <c r="O9" s="57" t="str">
        <f t="shared" ca="1" si="3"/>
        <v>T</v>
      </c>
      <c r="P9" s="57" t="str">
        <f t="shared" ca="1" si="3"/>
        <v>W</v>
      </c>
      <c r="Q9" s="57" t="str">
        <f t="shared" ca="1" si="3"/>
        <v>T</v>
      </c>
      <c r="R9" s="57" t="str">
        <f t="shared" ca="1" si="3"/>
        <v>F</v>
      </c>
      <c r="S9" s="57" t="str">
        <f t="shared" ca="1" si="3"/>
        <v>S</v>
      </c>
      <c r="T9" s="57" t="str">
        <f t="shared" ca="1" si="3"/>
        <v>S</v>
      </c>
      <c r="U9" s="57" t="str">
        <f t="shared" ca="1" si="3"/>
        <v>M</v>
      </c>
      <c r="V9" s="57" t="str">
        <f t="shared" ca="1" si="3"/>
        <v>T</v>
      </c>
      <c r="W9" s="57" t="str">
        <f t="shared" ca="1" si="3"/>
        <v>W</v>
      </c>
      <c r="X9" s="57" t="str">
        <f t="shared" ca="1" si="3"/>
        <v>T</v>
      </c>
      <c r="Y9" s="57" t="str">
        <f t="shared" ca="1" si="3"/>
        <v>F</v>
      </c>
      <c r="Z9" s="57" t="str">
        <f t="shared" ca="1" si="3"/>
        <v>S</v>
      </c>
      <c r="AA9" s="57" t="str">
        <f t="shared" ca="1" si="3"/>
        <v>S</v>
      </c>
      <c r="AB9" s="57" t="str">
        <f t="shared" ca="1" si="3"/>
        <v>M</v>
      </c>
      <c r="AC9" s="57" t="str">
        <f t="shared" ca="1" si="3"/>
        <v>T</v>
      </c>
      <c r="AD9" s="57" t="str">
        <f t="shared" ca="1" si="3"/>
        <v>W</v>
      </c>
      <c r="AE9" s="57" t="str">
        <f t="shared" ca="1" si="3"/>
        <v>T</v>
      </c>
      <c r="AF9" s="57" t="str">
        <f t="shared" ca="1" si="3"/>
        <v>F</v>
      </c>
      <c r="AG9" s="57" t="str">
        <f t="shared" ca="1" si="3"/>
        <v>S</v>
      </c>
      <c r="AH9" s="57" t="str">
        <f t="shared" ca="1" si="3"/>
        <v>S</v>
      </c>
      <c r="AI9" s="57" t="str">
        <f t="shared" ca="1" si="3"/>
        <v>M</v>
      </c>
      <c r="AJ9" s="57" t="str">
        <f t="shared" ca="1" si="3"/>
        <v>T</v>
      </c>
      <c r="AK9" s="57" t="str">
        <f t="shared" ca="1" si="3"/>
        <v>W</v>
      </c>
      <c r="AL9" s="57" t="str">
        <f t="shared" ca="1" si="3"/>
        <v>T</v>
      </c>
      <c r="AM9" s="57" t="str">
        <f t="shared" ca="1" si="3"/>
        <v>F</v>
      </c>
      <c r="AN9" s="57" t="str">
        <f t="shared" ca="1" si="3"/>
        <v>S</v>
      </c>
      <c r="AO9" s="57" t="str">
        <f t="shared" ca="1" si="3"/>
        <v>S</v>
      </c>
      <c r="AP9" s="57" t="str">
        <f t="shared" ca="1" si="3"/>
        <v>M</v>
      </c>
      <c r="AQ9" s="57" t="str">
        <f t="shared" ca="1" si="3"/>
        <v>T</v>
      </c>
      <c r="AR9" s="57" t="str">
        <f t="shared" ca="1" si="3"/>
        <v>W</v>
      </c>
      <c r="AS9" s="57" t="str">
        <f t="shared" ca="1" si="3"/>
        <v>T</v>
      </c>
      <c r="AT9" s="57" t="str">
        <f t="shared" ca="1" si="3"/>
        <v>F</v>
      </c>
      <c r="AU9" s="57" t="str">
        <f t="shared" ca="1" si="3"/>
        <v>S</v>
      </c>
      <c r="AV9" s="57" t="str">
        <f t="shared" ca="1" si="3"/>
        <v>S</v>
      </c>
      <c r="AW9" s="57" t="str">
        <f t="shared" ca="1" si="3"/>
        <v>M</v>
      </c>
      <c r="AX9" s="57" t="str">
        <f t="shared" ca="1" si="3"/>
        <v>T</v>
      </c>
      <c r="AY9" s="57" t="str">
        <f t="shared" ca="1" si="3"/>
        <v>W</v>
      </c>
      <c r="AZ9" s="57" t="str">
        <f t="shared" ca="1" si="3"/>
        <v>T</v>
      </c>
      <c r="BA9" s="57" t="str">
        <f t="shared" ca="1" si="3"/>
        <v>F</v>
      </c>
      <c r="BB9" s="57" t="str">
        <f t="shared" ca="1" si="3"/>
        <v>S</v>
      </c>
      <c r="BC9" s="57" t="str">
        <f t="shared" ca="1" si="3"/>
        <v>S</v>
      </c>
      <c r="BD9" s="57" t="str">
        <f t="shared" ca="1" si="3"/>
        <v>M</v>
      </c>
      <c r="BE9" s="57" t="str">
        <f t="shared" ca="1" si="3"/>
        <v>T</v>
      </c>
      <c r="BF9" s="57" t="str">
        <f t="shared" ca="1" si="3"/>
        <v>W</v>
      </c>
      <c r="BG9" s="57" t="str">
        <f t="shared" ca="1" si="3"/>
        <v>T</v>
      </c>
      <c r="BH9" s="57" t="str">
        <f t="shared" ca="1" si="3"/>
        <v>F</v>
      </c>
      <c r="BI9" s="57" t="str">
        <f t="shared" ca="1" si="3"/>
        <v>S</v>
      </c>
      <c r="BJ9" s="57" t="str">
        <f t="shared" ca="1" si="3"/>
        <v>S</v>
      </c>
      <c r="BK9" s="57" t="str">
        <f t="shared" ca="1" si="3"/>
        <v>M</v>
      </c>
      <c r="BL9" s="57" t="str">
        <f t="shared" ca="1" si="3"/>
        <v>T</v>
      </c>
    </row>
    <row r="10" spans="1:68" ht="30" hidden="1" customHeight="1" thickBot="1">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15" customHeight="1">
      <c r="A11" s="7"/>
      <c r="B11" s="58" t="s">
        <v>17</v>
      </c>
      <c r="C11" s="17"/>
      <c r="D11" s="17"/>
      <c r="E11" s="18"/>
      <c r="F11" s="19"/>
      <c r="G11" s="20"/>
      <c r="H11" s="17"/>
      <c r="I11" s="14" t="str">
        <f t="shared" ref="I11:X26" ca="1" si="4">IF(AND($C11="Goal",I$7&gt;=$F11,I$7&lt;=$F11+$G11-1),2,IF(AND($C11="Milestone",I$7&gt;=$F11,I$7&lt;=$F11+$G11-1),1,""))</f>
        <v/>
      </c>
      <c r="J11" s="14" t="str">
        <f t="shared" ca="1" si="4"/>
        <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26" ca="1" si="5">IF(AND($C11="Goal",Y$7&gt;=$F11,Y$7&lt;=$F11+$G11-1),2,IF(AND($C11="Milestone",Y$7&gt;=$F11,Y$7&lt;=$F11+$G11-1),1,""))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26" ca="1" si="6">IF(AND($C11="Goal",AO$7&gt;=$F11,AO$7&lt;=$F11+$G11-1),2,IF(AND($C11="Milestone",AO$7&gt;=$F11,AO$7&lt;=$F11+$G11-1),1,""))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L26" ca="1" si="7">IF(AND($C11="Goal",BE$7&gt;=$F11,BE$7&lt;=$F11+$G11-1),2,IF(AND($C11="Milestone",BE$7&gt;=$F11,BE$7&lt;=$F11+$G11-1),1,""))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15" customHeight="1">
      <c r="A12" s="7"/>
      <c r="B12" s="21" t="s">
        <v>18</v>
      </c>
      <c r="C12" s="17" t="s">
        <v>19</v>
      </c>
      <c r="D12" s="17" t="s">
        <v>20</v>
      </c>
      <c r="E12" s="18">
        <v>0.25</v>
      </c>
      <c r="F12" s="19">
        <f ca="1">TODAY()</f>
        <v>45569</v>
      </c>
      <c r="G12" s="20">
        <v>3</v>
      </c>
      <c r="H12" s="17"/>
      <c r="I12" s="14" t="str">
        <f ca="1">IF(AND($C12="Goal",I$7&gt;=$F12,I$7&lt;=$F12+$G12-1),2,IF(AND($C12="Milestone",I$7&gt;=$F12,I$7&lt;=$F12+$G12-1),1,""))</f>
        <v/>
      </c>
      <c r="J12" s="14" t="str">
        <f t="shared" ca="1" si="4"/>
        <v/>
      </c>
      <c r="K12" s="14" t="str">
        <f t="shared" ca="1" si="4"/>
        <v/>
      </c>
      <c r="L12" s="14" t="str">
        <f t="shared" ca="1" si="4"/>
        <v/>
      </c>
      <c r="M12" s="14" t="str">
        <f t="shared" ca="1" si="4"/>
        <v/>
      </c>
      <c r="N12" s="14" t="str">
        <f t="shared" ca="1" si="4"/>
        <v/>
      </c>
      <c r="O12" s="14" t="str">
        <f t="shared" ca="1" si="4"/>
        <v/>
      </c>
      <c r="P12" s="14" t="str">
        <f t="shared" ca="1" si="4"/>
        <v/>
      </c>
      <c r="Q12" s="14" t="str">
        <f t="shared" ca="1" si="4"/>
        <v/>
      </c>
      <c r="R12" s="14" t="str">
        <f t="shared" ca="1" si="4"/>
        <v/>
      </c>
      <c r="S12" s="14" t="str">
        <f t="shared" ca="1" si="4"/>
        <v/>
      </c>
      <c r="T12" s="14" t="str">
        <f t="shared" ca="1" si="4"/>
        <v/>
      </c>
      <c r="U12" s="14" t="str">
        <f t="shared" ca="1" si="4"/>
        <v/>
      </c>
      <c r="V12" s="14" t="str">
        <f t="shared" ca="1" si="4"/>
        <v/>
      </c>
      <c r="W12" s="14" t="str">
        <f t="shared" ca="1" si="4"/>
        <v/>
      </c>
      <c r="X12" s="14" t="str">
        <f t="shared" ca="1" si="4"/>
        <v/>
      </c>
      <c r="Y12" s="14" t="str">
        <f t="shared" ca="1" si="5"/>
        <v/>
      </c>
      <c r="Z12" s="14" t="str">
        <f t="shared" ca="1" si="5"/>
        <v/>
      </c>
      <c r="AA12" s="14" t="str">
        <f t="shared" ca="1" si="5"/>
        <v/>
      </c>
      <c r="AB12" s="14" t="str">
        <f t="shared" ca="1" si="5"/>
        <v/>
      </c>
      <c r="AC12" s="14" t="str">
        <f t="shared" ca="1" si="5"/>
        <v/>
      </c>
      <c r="AD12" s="14" t="str">
        <f t="shared" ca="1" si="5"/>
        <v/>
      </c>
      <c r="AE12" s="14" t="str">
        <f t="shared" ca="1" si="5"/>
        <v/>
      </c>
      <c r="AF12" s="14" t="str">
        <f t="shared" ca="1" si="5"/>
        <v/>
      </c>
      <c r="AG12" s="14" t="str">
        <f t="shared" ca="1" si="5"/>
        <v/>
      </c>
      <c r="AH12" s="14" t="str">
        <f t="shared" ca="1" si="5"/>
        <v/>
      </c>
      <c r="AI12" s="14" t="str">
        <f t="shared" ca="1" si="5"/>
        <v/>
      </c>
      <c r="AJ12" s="14" t="str">
        <f t="shared" ca="1" si="5"/>
        <v/>
      </c>
      <c r="AK12" s="14" t="str">
        <f t="shared" ca="1" si="5"/>
        <v/>
      </c>
      <c r="AL12" s="14" t="str">
        <f t="shared" ca="1" si="5"/>
        <v/>
      </c>
      <c r="AM12" s="14" t="str">
        <f t="shared" ca="1" si="5"/>
        <v/>
      </c>
      <c r="AN12" s="14" t="str">
        <f t="shared" ca="1" si="5"/>
        <v/>
      </c>
      <c r="AO12" s="14" t="str">
        <f t="shared" ca="1" si="6"/>
        <v/>
      </c>
      <c r="AP12" s="14" t="str">
        <f t="shared" ca="1" si="6"/>
        <v/>
      </c>
      <c r="AQ12" s="14" t="str">
        <f t="shared" ca="1" si="6"/>
        <v/>
      </c>
      <c r="AR12" s="14" t="str">
        <f t="shared" ca="1" si="6"/>
        <v/>
      </c>
      <c r="AS12" s="14" t="str">
        <f t="shared" ca="1" si="6"/>
        <v/>
      </c>
      <c r="AT12" s="14" t="str">
        <f t="shared" ca="1" si="6"/>
        <v/>
      </c>
      <c r="AU12" s="14" t="str">
        <f t="shared" ca="1" si="6"/>
        <v/>
      </c>
      <c r="AV12" s="14" t="str">
        <f t="shared" ca="1" si="6"/>
        <v/>
      </c>
      <c r="AW12" s="14" t="str">
        <f t="shared" ca="1" si="6"/>
        <v/>
      </c>
      <c r="AX12" s="14" t="str">
        <f t="shared" ca="1" si="6"/>
        <v/>
      </c>
      <c r="AY12" s="14" t="str">
        <f t="shared" ca="1" si="6"/>
        <v/>
      </c>
      <c r="AZ12" s="14" t="str">
        <f t="shared" ca="1" si="6"/>
        <v/>
      </c>
      <c r="BA12" s="14" t="str">
        <f t="shared" ca="1" si="6"/>
        <v/>
      </c>
      <c r="BB12" s="14" t="str">
        <f t="shared" ca="1" si="6"/>
        <v/>
      </c>
      <c r="BC12" s="14" t="str">
        <f t="shared" ca="1" si="6"/>
        <v/>
      </c>
      <c r="BD12" s="14" t="str">
        <f t="shared" ca="1" si="6"/>
        <v/>
      </c>
      <c r="BE12" s="14" t="str">
        <f t="shared" ca="1" si="7"/>
        <v/>
      </c>
      <c r="BF12" s="14" t="str">
        <f t="shared" ca="1" si="7"/>
        <v/>
      </c>
      <c r="BG12" s="14" t="str">
        <f t="shared" ca="1" si="7"/>
        <v/>
      </c>
      <c r="BH12" s="14" t="str">
        <f t="shared" ca="1" si="7"/>
        <v/>
      </c>
      <c r="BI12" s="14" t="str">
        <f t="shared" ca="1" si="7"/>
        <v/>
      </c>
      <c r="BJ12" s="14" t="str">
        <f t="shared" ca="1" si="7"/>
        <v/>
      </c>
      <c r="BK12" s="14" t="str">
        <f t="shared" ca="1" si="7"/>
        <v/>
      </c>
      <c r="BL12" s="14" t="str">
        <f t="shared" ca="1" si="7"/>
        <v/>
      </c>
    </row>
    <row r="13" spans="1:68" s="1" customFormat="1" ht="40.15" customHeight="1">
      <c r="A13" s="7"/>
      <c r="B13" s="21" t="s">
        <v>21</v>
      </c>
      <c r="C13" s="17" t="s">
        <v>22</v>
      </c>
      <c r="D13" s="17"/>
      <c r="E13" s="18"/>
      <c r="F13" s="19">
        <f ca="1">TODAY()+5</f>
        <v>45574</v>
      </c>
      <c r="G13" s="20">
        <v>1</v>
      </c>
      <c r="H13" s="17"/>
      <c r="I13" s="14">
        <f t="shared" ref="I13:X28" ca="1" si="8">IF(AND($C13="Goal",I$7&gt;=$F13,I$7&lt;=$F13+$G13-1),2,IF(AND($C13="Milestone",I$7&gt;=$F13,I$7&lt;=$F13+$G13-1),1,""))</f>
        <v>1</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t="str">
        <f t="shared" ca="1" si="4"/>
        <v/>
      </c>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ca="1" si="7"/>
        <v/>
      </c>
      <c r="BF13" s="14" t="str">
        <f t="shared" ca="1" si="7"/>
        <v/>
      </c>
      <c r="BG13" s="14" t="str">
        <f t="shared" ca="1" si="7"/>
        <v/>
      </c>
      <c r="BH13" s="14" t="str">
        <f t="shared" ca="1" si="7"/>
        <v/>
      </c>
      <c r="BI13" s="14" t="str">
        <f t="shared" ca="1" si="7"/>
        <v/>
      </c>
      <c r="BJ13" s="14" t="str">
        <f t="shared" ca="1" si="7"/>
        <v/>
      </c>
      <c r="BK13" s="14" t="str">
        <f t="shared" ca="1" si="7"/>
        <v/>
      </c>
      <c r="BL13" s="14" t="str">
        <f t="shared" ca="1" si="7"/>
        <v/>
      </c>
    </row>
    <row r="14" spans="1:68" s="1" customFormat="1" ht="40.15" customHeight="1">
      <c r="A14" s="6"/>
      <c r="B14" s="21" t="s">
        <v>23</v>
      </c>
      <c r="C14" s="17" t="s">
        <v>24</v>
      </c>
      <c r="D14" s="17"/>
      <c r="E14" s="18">
        <v>0.5</v>
      </c>
      <c r="F14" s="19">
        <f ca="1">F12-3</f>
        <v>45566</v>
      </c>
      <c r="G14" s="20">
        <v>10</v>
      </c>
      <c r="H14" s="17"/>
      <c r="I14" s="14" t="str">
        <f t="shared" ca="1" si="8"/>
        <v/>
      </c>
      <c r="J14" s="14" t="str">
        <f t="shared" ca="1" si="4"/>
        <v/>
      </c>
      <c r="K14" s="14" t="str">
        <f t="shared" ca="1" si="4"/>
        <v/>
      </c>
      <c r="L14" s="14" t="str">
        <f t="shared" ca="1" si="4"/>
        <v/>
      </c>
      <c r="M14" s="14" t="str">
        <f t="shared" ca="1" si="4"/>
        <v/>
      </c>
      <c r="N14" s="14" t="str">
        <f t="shared" ca="1" si="4"/>
        <v/>
      </c>
      <c r="O14" s="14" t="str">
        <f t="shared" ca="1" si="4"/>
        <v/>
      </c>
      <c r="P14" s="14" t="str">
        <f t="shared" ca="1" si="4"/>
        <v/>
      </c>
      <c r="Q14" s="14" t="str">
        <f t="shared" ca="1" si="4"/>
        <v/>
      </c>
      <c r="R14" s="14" t="str">
        <f t="shared" ca="1" si="4"/>
        <v/>
      </c>
      <c r="S14" s="14" t="str">
        <f t="shared" ca="1" si="4"/>
        <v/>
      </c>
      <c r="T14" s="14" t="str">
        <f t="shared" ca="1" si="4"/>
        <v/>
      </c>
      <c r="U14" s="14" t="str">
        <f t="shared" ca="1" si="4"/>
        <v/>
      </c>
      <c r="V14" s="14" t="str">
        <f t="shared" ca="1" si="4"/>
        <v/>
      </c>
      <c r="W14" s="14" t="str">
        <f t="shared" ca="1" si="4"/>
        <v/>
      </c>
      <c r="X14" s="14" t="str">
        <f t="shared" ca="1" si="4"/>
        <v/>
      </c>
      <c r="Y14" s="14" t="str">
        <f t="shared" ca="1" si="5"/>
        <v/>
      </c>
      <c r="Z14" s="14" t="str">
        <f t="shared" ca="1" si="5"/>
        <v/>
      </c>
      <c r="AA14" s="14" t="str">
        <f t="shared" ca="1" si="5"/>
        <v/>
      </c>
      <c r="AB14" s="14" t="str">
        <f t="shared" ca="1" si="5"/>
        <v/>
      </c>
      <c r="AC14" s="14" t="str">
        <f t="shared" ca="1" si="5"/>
        <v/>
      </c>
      <c r="AD14" s="14" t="str">
        <f t="shared" ca="1" si="5"/>
        <v/>
      </c>
      <c r="AE14" s="14" t="str">
        <f t="shared" ca="1" si="5"/>
        <v/>
      </c>
      <c r="AF14" s="14" t="str">
        <f t="shared" ca="1" si="5"/>
        <v/>
      </c>
      <c r="AG14" s="14" t="str">
        <f t="shared" ca="1" si="5"/>
        <v/>
      </c>
      <c r="AH14" s="14" t="str">
        <f t="shared" ca="1" si="5"/>
        <v/>
      </c>
      <c r="AI14" s="14" t="str">
        <f t="shared" ca="1" si="5"/>
        <v/>
      </c>
      <c r="AJ14" s="14" t="str">
        <f t="shared" ca="1" si="5"/>
        <v/>
      </c>
      <c r="AK14" s="14" t="str">
        <f t="shared" ca="1" si="5"/>
        <v/>
      </c>
      <c r="AL14" s="14" t="str">
        <f t="shared" ca="1" si="5"/>
        <v/>
      </c>
      <c r="AM14" s="14" t="str">
        <f t="shared" ca="1" si="5"/>
        <v/>
      </c>
      <c r="AN14" s="14" t="str">
        <f t="shared" ca="1" si="5"/>
        <v/>
      </c>
      <c r="AO14" s="14" t="str">
        <f t="shared" ca="1" si="6"/>
        <v/>
      </c>
      <c r="AP14" s="14" t="str">
        <f t="shared" ca="1" si="6"/>
        <v/>
      </c>
      <c r="AQ14" s="14" t="str">
        <f t="shared" ca="1" si="6"/>
        <v/>
      </c>
      <c r="AR14" s="14" t="str">
        <f t="shared" ca="1" si="6"/>
        <v/>
      </c>
      <c r="AS14" s="14" t="str">
        <f t="shared" ca="1" si="6"/>
        <v/>
      </c>
      <c r="AT14" s="14" t="str">
        <f t="shared" ca="1" si="6"/>
        <v/>
      </c>
      <c r="AU14" s="14" t="str">
        <f t="shared" ca="1" si="6"/>
        <v/>
      </c>
      <c r="AV14" s="14" t="str">
        <f t="shared" ca="1" si="6"/>
        <v/>
      </c>
      <c r="AW14" s="14" t="str">
        <f t="shared" ca="1" si="6"/>
        <v/>
      </c>
      <c r="AX14" s="14" t="str">
        <f t="shared" ca="1" si="6"/>
        <v/>
      </c>
      <c r="AY14" s="14" t="str">
        <f t="shared" ca="1" si="6"/>
        <v/>
      </c>
      <c r="AZ14" s="14" t="str">
        <f t="shared" ca="1" si="6"/>
        <v/>
      </c>
      <c r="BA14" s="14" t="str">
        <f t="shared" ca="1" si="6"/>
        <v/>
      </c>
      <c r="BB14" s="14" t="str">
        <f t="shared" ca="1" si="6"/>
        <v/>
      </c>
      <c r="BC14" s="14" t="str">
        <f t="shared" ca="1" si="6"/>
        <v/>
      </c>
      <c r="BD14" s="14" t="str">
        <f t="shared" ca="1" si="6"/>
        <v/>
      </c>
      <c r="BE14" s="14" t="str">
        <f t="shared" ca="1" si="7"/>
        <v/>
      </c>
      <c r="BF14" s="14" t="str">
        <f t="shared" ca="1" si="7"/>
        <v/>
      </c>
      <c r="BG14" s="14" t="str">
        <f t="shared" ca="1" si="7"/>
        <v/>
      </c>
      <c r="BH14" s="14" t="str">
        <f t="shared" ca="1" si="7"/>
        <v/>
      </c>
      <c r="BI14" s="14" t="str">
        <f t="shared" ca="1" si="7"/>
        <v/>
      </c>
      <c r="BJ14" s="14" t="str">
        <f t="shared" ca="1" si="7"/>
        <v/>
      </c>
      <c r="BK14" s="14" t="str">
        <f t="shared" ca="1" si="7"/>
        <v/>
      </c>
      <c r="BL14" s="14" t="str">
        <f t="shared" ca="1" si="7"/>
        <v/>
      </c>
    </row>
    <row r="15" spans="1:68" s="1" customFormat="1" ht="40.15" customHeight="1">
      <c r="A15" s="6"/>
      <c r="B15" s="21" t="s">
        <v>25</v>
      </c>
      <c r="C15" s="17" t="s">
        <v>22</v>
      </c>
      <c r="D15" s="17"/>
      <c r="E15" s="18"/>
      <c r="F15" s="19">
        <f ca="1">F12+20</f>
        <v>45589</v>
      </c>
      <c r="G15" s="20">
        <v>1</v>
      </c>
      <c r="H15" s="17"/>
      <c r="I15" s="14" t="str">
        <f t="shared" ca="1" si="8"/>
        <v/>
      </c>
      <c r="J15" s="14" t="str">
        <f t="shared" ca="1" si="4"/>
        <v/>
      </c>
      <c r="K15" s="14" t="str">
        <f t="shared" ca="1" si="4"/>
        <v/>
      </c>
      <c r="L15" s="14" t="str">
        <f t="shared" ca="1" si="4"/>
        <v/>
      </c>
      <c r="M15" s="14" t="str">
        <f t="shared" ca="1" si="4"/>
        <v/>
      </c>
      <c r="N15" s="14" t="str">
        <f t="shared" ca="1" si="4"/>
        <v/>
      </c>
      <c r="O15" s="14" t="str">
        <f t="shared" ca="1" si="4"/>
        <v/>
      </c>
      <c r="P15" s="14" t="str">
        <f t="shared" ca="1" si="4"/>
        <v/>
      </c>
      <c r="Q15" s="14" t="str">
        <f t="shared" ca="1" si="4"/>
        <v/>
      </c>
      <c r="R15" s="14" t="str">
        <f t="shared" ca="1" si="4"/>
        <v/>
      </c>
      <c r="S15" s="14" t="str">
        <f t="shared" ca="1" si="4"/>
        <v/>
      </c>
      <c r="T15" s="14" t="str">
        <f t="shared" ca="1" si="4"/>
        <v/>
      </c>
      <c r="U15" s="14" t="str">
        <f t="shared" ca="1" si="4"/>
        <v/>
      </c>
      <c r="V15" s="14" t="str">
        <f t="shared" ca="1" si="4"/>
        <v/>
      </c>
      <c r="W15" s="14" t="str">
        <f t="shared" ca="1" si="4"/>
        <v/>
      </c>
      <c r="X15" s="14">
        <f t="shared" ca="1" si="4"/>
        <v>1</v>
      </c>
      <c r="Y15" s="14" t="str">
        <f t="shared" ca="1" si="5"/>
        <v/>
      </c>
      <c r="Z15" s="14" t="str">
        <f t="shared" ca="1" si="5"/>
        <v/>
      </c>
      <c r="AA15" s="14" t="str">
        <f t="shared" ca="1" si="5"/>
        <v/>
      </c>
      <c r="AB15" s="14" t="str">
        <f t="shared" ca="1" si="5"/>
        <v/>
      </c>
      <c r="AC15" s="14" t="str">
        <f t="shared" ca="1" si="5"/>
        <v/>
      </c>
      <c r="AD15" s="14" t="str">
        <f t="shared" ca="1" si="5"/>
        <v/>
      </c>
      <c r="AE15" s="14" t="str">
        <f t="shared" ca="1" si="5"/>
        <v/>
      </c>
      <c r="AF15" s="14" t="str">
        <f t="shared" ca="1" si="5"/>
        <v/>
      </c>
      <c r="AG15" s="14" t="str">
        <f t="shared" ca="1" si="5"/>
        <v/>
      </c>
      <c r="AH15" s="14" t="str">
        <f t="shared" ca="1" si="5"/>
        <v/>
      </c>
      <c r="AI15" s="14" t="str">
        <f t="shared" ca="1" si="5"/>
        <v/>
      </c>
      <c r="AJ15" s="14" t="str">
        <f t="shared" ca="1" si="5"/>
        <v/>
      </c>
      <c r="AK15" s="14" t="str">
        <f t="shared" ca="1" si="5"/>
        <v/>
      </c>
      <c r="AL15" s="14" t="str">
        <f t="shared" ca="1" si="5"/>
        <v/>
      </c>
      <c r="AM15" s="14" t="str">
        <f t="shared" ca="1" si="5"/>
        <v/>
      </c>
      <c r="AN15" s="14" t="str">
        <f t="shared" ca="1" si="5"/>
        <v/>
      </c>
      <c r="AO15" s="14" t="str">
        <f t="shared" ca="1" si="6"/>
        <v/>
      </c>
      <c r="AP15" s="14" t="str">
        <f t="shared" ca="1" si="6"/>
        <v/>
      </c>
      <c r="AQ15" s="14" t="str">
        <f t="shared" ca="1" si="6"/>
        <v/>
      </c>
      <c r="AR15" s="14" t="str">
        <f t="shared" ca="1" si="6"/>
        <v/>
      </c>
      <c r="AS15" s="14" t="str">
        <f t="shared" ca="1" si="6"/>
        <v/>
      </c>
      <c r="AT15" s="14" t="str">
        <f t="shared" ca="1" si="6"/>
        <v/>
      </c>
      <c r="AU15" s="14" t="str">
        <f t="shared" ca="1" si="6"/>
        <v/>
      </c>
      <c r="AV15" s="14" t="str">
        <f t="shared" ca="1" si="6"/>
        <v/>
      </c>
      <c r="AW15" s="14" t="str">
        <f t="shared" ca="1" si="6"/>
        <v/>
      </c>
      <c r="AX15" s="14" t="str">
        <f t="shared" ca="1" si="6"/>
        <v/>
      </c>
      <c r="AY15" s="14" t="str">
        <f t="shared" ca="1" si="6"/>
        <v/>
      </c>
      <c r="AZ15" s="14" t="str">
        <f t="shared" ca="1" si="6"/>
        <v/>
      </c>
      <c r="BA15" s="14" t="str">
        <f t="shared" ca="1" si="6"/>
        <v/>
      </c>
      <c r="BB15" s="14" t="str">
        <f t="shared" ca="1" si="6"/>
        <v/>
      </c>
      <c r="BC15" s="14" t="str">
        <f t="shared" ca="1" si="6"/>
        <v/>
      </c>
      <c r="BD15" s="14" t="str">
        <f t="shared" ca="1" si="6"/>
        <v/>
      </c>
      <c r="BE15" s="14" t="str">
        <f t="shared" ca="1" si="7"/>
        <v/>
      </c>
      <c r="BF15" s="14" t="str">
        <f t="shared" ca="1" si="7"/>
        <v/>
      </c>
      <c r="BG15" s="14" t="str">
        <f t="shared" ca="1" si="7"/>
        <v/>
      </c>
      <c r="BH15" s="14" t="str">
        <f t="shared" ca="1" si="7"/>
        <v/>
      </c>
      <c r="BI15" s="14" t="str">
        <f t="shared" ca="1" si="7"/>
        <v/>
      </c>
      <c r="BJ15" s="14" t="str">
        <f t="shared" ca="1" si="7"/>
        <v/>
      </c>
      <c r="BK15" s="14" t="str">
        <f t="shared" ca="1" si="7"/>
        <v/>
      </c>
      <c r="BL15" s="14" t="str">
        <f t="shared" ca="1" si="7"/>
        <v/>
      </c>
    </row>
    <row r="16" spans="1:68" s="1" customFormat="1" ht="40.15" customHeight="1">
      <c r="A16" s="6"/>
      <c r="B16" s="21" t="s">
        <v>26</v>
      </c>
      <c r="C16" s="17" t="s">
        <v>27</v>
      </c>
      <c r="D16" s="17"/>
      <c r="E16" s="18">
        <v>0.1</v>
      </c>
      <c r="F16" s="19">
        <f ca="1">F12+6</f>
        <v>45575</v>
      </c>
      <c r="G16" s="20">
        <v>6</v>
      </c>
      <c r="H16" s="17"/>
      <c r="I16" s="14" t="str">
        <f t="shared" ca="1" si="8"/>
        <v/>
      </c>
      <c r="J16" s="14" t="str">
        <f t="shared" ca="1" si="4"/>
        <v/>
      </c>
      <c r="K16" s="14" t="str">
        <f t="shared" ca="1" si="4"/>
        <v/>
      </c>
      <c r="L16" s="14" t="str">
        <f t="shared" ca="1" si="4"/>
        <v/>
      </c>
      <c r="M16" s="14" t="str">
        <f t="shared" ca="1" si="4"/>
        <v/>
      </c>
      <c r="N16" s="14" t="str">
        <f t="shared" ca="1" si="4"/>
        <v/>
      </c>
      <c r="O16" s="14" t="str">
        <f t="shared" ca="1" si="4"/>
        <v/>
      </c>
      <c r="P16" s="14" t="str">
        <f t="shared" ca="1" si="4"/>
        <v/>
      </c>
      <c r="Q16" s="14" t="str">
        <f t="shared" ca="1" si="4"/>
        <v/>
      </c>
      <c r="R16" s="14" t="str">
        <f t="shared" ca="1" si="4"/>
        <v/>
      </c>
      <c r="S16" s="14" t="str">
        <f t="shared" ca="1" si="4"/>
        <v/>
      </c>
      <c r="T16" s="14" t="str">
        <f t="shared" ca="1" si="4"/>
        <v/>
      </c>
      <c r="U16" s="14" t="str">
        <f t="shared" ca="1" si="4"/>
        <v/>
      </c>
      <c r="V16" s="14" t="str">
        <f t="shared" ca="1" si="4"/>
        <v/>
      </c>
      <c r="W16" s="14" t="str">
        <f t="shared" ca="1" si="4"/>
        <v/>
      </c>
      <c r="X16" s="14" t="str">
        <f t="shared" ca="1" si="4"/>
        <v/>
      </c>
      <c r="Y16" s="14" t="str">
        <f t="shared" ca="1" si="5"/>
        <v/>
      </c>
      <c r="Z16" s="14" t="str">
        <f t="shared" ca="1" si="5"/>
        <v/>
      </c>
      <c r="AA16" s="14" t="str">
        <f t="shared" ca="1" si="5"/>
        <v/>
      </c>
      <c r="AB16" s="14" t="str">
        <f t="shared" ca="1" si="5"/>
        <v/>
      </c>
      <c r="AC16" s="14" t="str">
        <f t="shared" ca="1" si="5"/>
        <v/>
      </c>
      <c r="AD16" s="14" t="str">
        <f t="shared" ca="1" si="5"/>
        <v/>
      </c>
      <c r="AE16" s="14" t="str">
        <f t="shared" ca="1" si="5"/>
        <v/>
      </c>
      <c r="AF16" s="14" t="str">
        <f t="shared" ca="1" si="5"/>
        <v/>
      </c>
      <c r="AG16" s="14" t="str">
        <f t="shared" ca="1" si="5"/>
        <v/>
      </c>
      <c r="AH16" s="14" t="str">
        <f t="shared" ca="1" si="5"/>
        <v/>
      </c>
      <c r="AI16" s="14" t="str">
        <f t="shared" ca="1" si="5"/>
        <v/>
      </c>
      <c r="AJ16" s="14" t="str">
        <f t="shared" ca="1" si="5"/>
        <v/>
      </c>
      <c r="AK16" s="14" t="str">
        <f t="shared" ca="1" si="5"/>
        <v/>
      </c>
      <c r="AL16" s="14" t="str">
        <f t="shared" ca="1" si="5"/>
        <v/>
      </c>
      <c r="AM16" s="14" t="str">
        <f t="shared" ca="1" si="5"/>
        <v/>
      </c>
      <c r="AN16" s="14" t="str">
        <f t="shared" ca="1" si="5"/>
        <v/>
      </c>
      <c r="AO16" s="14" t="str">
        <f t="shared" ca="1" si="6"/>
        <v/>
      </c>
      <c r="AP16" s="14" t="str">
        <f t="shared" ca="1" si="6"/>
        <v/>
      </c>
      <c r="AQ16" s="14" t="str">
        <f t="shared" ca="1" si="6"/>
        <v/>
      </c>
      <c r="AR16" s="14" t="str">
        <f t="shared" ca="1" si="6"/>
        <v/>
      </c>
      <c r="AS16" s="14" t="str">
        <f t="shared" ca="1" si="6"/>
        <v/>
      </c>
      <c r="AT16" s="14" t="str">
        <f t="shared" ca="1" si="6"/>
        <v/>
      </c>
      <c r="AU16" s="14" t="str">
        <f t="shared" ca="1" si="6"/>
        <v/>
      </c>
      <c r="AV16" s="14" t="str">
        <f t="shared" ca="1" si="6"/>
        <v/>
      </c>
      <c r="AW16" s="14" t="str">
        <f t="shared" ca="1" si="6"/>
        <v/>
      </c>
      <c r="AX16" s="14" t="str">
        <f t="shared" ca="1" si="6"/>
        <v/>
      </c>
      <c r="AY16" s="14" t="str">
        <f t="shared" ca="1" si="6"/>
        <v/>
      </c>
      <c r="AZ16" s="14" t="str">
        <f t="shared" ca="1" si="6"/>
        <v/>
      </c>
      <c r="BA16" s="14" t="str">
        <f t="shared" ca="1" si="6"/>
        <v/>
      </c>
      <c r="BB16" s="14" t="str">
        <f t="shared" ca="1" si="6"/>
        <v/>
      </c>
      <c r="BC16" s="14" t="str">
        <f t="shared" ca="1" si="6"/>
        <v/>
      </c>
      <c r="BD16" s="14" t="str">
        <f t="shared" ca="1" si="6"/>
        <v/>
      </c>
      <c r="BE16" s="14" t="str">
        <f t="shared" ca="1" si="7"/>
        <v/>
      </c>
      <c r="BF16" s="14" t="str">
        <f t="shared" ca="1" si="7"/>
        <v/>
      </c>
      <c r="BG16" s="14" t="str">
        <f t="shared" ca="1" si="7"/>
        <v/>
      </c>
      <c r="BH16" s="14" t="str">
        <f t="shared" ca="1" si="7"/>
        <v/>
      </c>
      <c r="BI16" s="14" t="str">
        <f t="shared" ca="1" si="7"/>
        <v/>
      </c>
      <c r="BJ16" s="14" t="str">
        <f t="shared" ca="1" si="7"/>
        <v/>
      </c>
      <c r="BK16" s="14" t="str">
        <f t="shared" ca="1" si="7"/>
        <v/>
      </c>
      <c r="BL16" s="14" t="str">
        <f t="shared" ca="1" si="7"/>
        <v/>
      </c>
    </row>
    <row r="17" spans="1:64" s="1" customFormat="1" ht="40.15" customHeight="1">
      <c r="A17" s="7"/>
      <c r="B17" s="58" t="s">
        <v>28</v>
      </c>
      <c r="C17" s="17"/>
      <c r="D17" s="17"/>
      <c r="E17" s="18"/>
      <c r="F17" s="19"/>
      <c r="G17" s="20"/>
      <c r="H17" s="17"/>
      <c r="I17" s="14" t="str">
        <f t="shared" ca="1" si="8"/>
        <v/>
      </c>
      <c r="J17" s="14" t="str">
        <f t="shared" ca="1" si="4"/>
        <v/>
      </c>
      <c r="K17" s="14" t="str">
        <f t="shared" ca="1" si="4"/>
        <v/>
      </c>
      <c r="L17" s="14" t="str">
        <f t="shared" ca="1" si="4"/>
        <v/>
      </c>
      <c r="M17" s="14" t="str">
        <f t="shared" ca="1" si="4"/>
        <v/>
      </c>
      <c r="N17" s="14" t="str">
        <f t="shared" ca="1" si="4"/>
        <v/>
      </c>
      <c r="O17" s="14" t="str">
        <f t="shared" ca="1" si="4"/>
        <v/>
      </c>
      <c r="P17" s="14" t="str">
        <f t="shared" ca="1" si="4"/>
        <v/>
      </c>
      <c r="Q17" s="14" t="str">
        <f t="shared" ca="1" si="4"/>
        <v/>
      </c>
      <c r="R17" s="14" t="str">
        <f t="shared" ca="1" si="4"/>
        <v/>
      </c>
      <c r="S17" s="14" t="str">
        <f t="shared" ca="1" si="4"/>
        <v/>
      </c>
      <c r="T17" s="14" t="str">
        <f t="shared" ca="1" si="4"/>
        <v/>
      </c>
      <c r="U17" s="14" t="str">
        <f t="shared" ca="1" si="4"/>
        <v/>
      </c>
      <c r="V17" s="14" t="str">
        <f t="shared" ca="1" si="4"/>
        <v/>
      </c>
      <c r="W17" s="14" t="str">
        <f t="shared" ca="1" si="4"/>
        <v/>
      </c>
      <c r="X17" s="14" t="str">
        <f t="shared" ca="1" si="4"/>
        <v/>
      </c>
      <c r="Y17" s="14" t="str">
        <f t="shared" ca="1" si="5"/>
        <v/>
      </c>
      <c r="Z17" s="14" t="str">
        <f t="shared" ca="1" si="5"/>
        <v/>
      </c>
      <c r="AA17" s="14" t="str">
        <f t="shared" ca="1" si="5"/>
        <v/>
      </c>
      <c r="AB17" s="14" t="str">
        <f t="shared" ca="1" si="5"/>
        <v/>
      </c>
      <c r="AC17" s="14" t="str">
        <f t="shared" ca="1" si="5"/>
        <v/>
      </c>
      <c r="AD17" s="14" t="str">
        <f t="shared" ca="1" si="5"/>
        <v/>
      </c>
      <c r="AE17" s="14" t="str">
        <f t="shared" ca="1" si="5"/>
        <v/>
      </c>
      <c r="AF17" s="14" t="str">
        <f t="shared" ca="1" si="5"/>
        <v/>
      </c>
      <c r="AG17" s="14" t="str">
        <f t="shared" ca="1" si="5"/>
        <v/>
      </c>
      <c r="AH17" s="14" t="str">
        <f t="shared" ca="1" si="5"/>
        <v/>
      </c>
      <c r="AI17" s="14" t="str">
        <f t="shared" ca="1" si="5"/>
        <v/>
      </c>
      <c r="AJ17" s="14" t="str">
        <f t="shared" ca="1" si="5"/>
        <v/>
      </c>
      <c r="AK17" s="14" t="str">
        <f t="shared" ca="1" si="5"/>
        <v/>
      </c>
      <c r="AL17" s="14" t="str">
        <f t="shared" ca="1" si="5"/>
        <v/>
      </c>
      <c r="AM17" s="14" t="str">
        <f t="shared" ca="1" si="5"/>
        <v/>
      </c>
      <c r="AN17" s="14" t="str">
        <f t="shared" ca="1" si="5"/>
        <v/>
      </c>
      <c r="AO17" s="14" t="str">
        <f t="shared" ca="1" si="6"/>
        <v/>
      </c>
      <c r="AP17" s="14" t="str">
        <f t="shared" ca="1" si="6"/>
        <v/>
      </c>
      <c r="AQ17" s="14" t="str">
        <f t="shared" ca="1" si="6"/>
        <v/>
      </c>
      <c r="AR17" s="14" t="str">
        <f t="shared" ca="1" si="6"/>
        <v/>
      </c>
      <c r="AS17" s="14" t="str">
        <f t="shared" ca="1" si="6"/>
        <v/>
      </c>
      <c r="AT17" s="14" t="str">
        <f t="shared" ca="1" si="6"/>
        <v/>
      </c>
      <c r="AU17" s="14" t="str">
        <f t="shared" ca="1" si="6"/>
        <v/>
      </c>
      <c r="AV17" s="14" t="str">
        <f t="shared" ca="1" si="6"/>
        <v/>
      </c>
      <c r="AW17" s="14" t="str">
        <f t="shared" ca="1" si="6"/>
        <v/>
      </c>
      <c r="AX17" s="14" t="str">
        <f t="shared" ca="1" si="6"/>
        <v/>
      </c>
      <c r="AY17" s="14" t="str">
        <f t="shared" ca="1" si="6"/>
        <v/>
      </c>
      <c r="AZ17" s="14" t="str">
        <f t="shared" ca="1" si="6"/>
        <v/>
      </c>
      <c r="BA17" s="14" t="str">
        <f t="shared" ca="1" si="6"/>
        <v/>
      </c>
      <c r="BB17" s="14" t="str">
        <f t="shared" ca="1" si="6"/>
        <v/>
      </c>
      <c r="BC17" s="14" t="str">
        <f t="shared" ca="1" si="6"/>
        <v/>
      </c>
      <c r="BD17" s="14" t="str">
        <f t="shared" ca="1" si="6"/>
        <v/>
      </c>
      <c r="BE17" s="14" t="str">
        <f t="shared" ca="1" si="7"/>
        <v/>
      </c>
      <c r="BF17" s="14" t="str">
        <f t="shared" ca="1" si="7"/>
        <v/>
      </c>
      <c r="BG17" s="14" t="str">
        <f t="shared" ca="1" si="7"/>
        <v/>
      </c>
      <c r="BH17" s="14" t="str">
        <f t="shared" ca="1" si="7"/>
        <v/>
      </c>
      <c r="BI17" s="14" t="str">
        <f t="shared" ca="1" si="7"/>
        <v/>
      </c>
      <c r="BJ17" s="14" t="str">
        <f t="shared" ca="1" si="7"/>
        <v/>
      </c>
      <c r="BK17" s="14" t="str">
        <f t="shared" ca="1" si="7"/>
        <v/>
      </c>
      <c r="BL17" s="14" t="str">
        <f t="shared" ca="1" si="7"/>
        <v/>
      </c>
    </row>
    <row r="18" spans="1:64" s="1" customFormat="1" ht="40.15" customHeight="1">
      <c r="A18" s="7"/>
      <c r="B18" s="21" t="s">
        <v>18</v>
      </c>
      <c r="C18" s="17" t="s">
        <v>29</v>
      </c>
      <c r="D18" s="17"/>
      <c r="E18" s="18">
        <v>0.6</v>
      </c>
      <c r="F18" s="19">
        <f ca="1">F12+6</f>
        <v>45575</v>
      </c>
      <c r="G18" s="20">
        <v>13</v>
      </c>
      <c r="H18" s="17"/>
      <c r="I18" s="14" t="str">
        <f t="shared" ca="1" si="8"/>
        <v/>
      </c>
      <c r="J18" s="14" t="str">
        <f t="shared" ca="1" si="4"/>
        <v/>
      </c>
      <c r="K18" s="14" t="str">
        <f t="shared" ca="1" si="4"/>
        <v/>
      </c>
      <c r="L18" s="14" t="str">
        <f t="shared" ca="1" si="4"/>
        <v/>
      </c>
      <c r="M18" s="14" t="str">
        <f t="shared" ca="1" si="4"/>
        <v/>
      </c>
      <c r="N18" s="14" t="str">
        <f t="shared" ca="1" si="4"/>
        <v/>
      </c>
      <c r="O18" s="14" t="str">
        <f t="shared" ca="1" si="4"/>
        <v/>
      </c>
      <c r="P18" s="14" t="str">
        <f t="shared" ca="1" si="4"/>
        <v/>
      </c>
      <c r="Q18" s="14" t="str">
        <f t="shared" ca="1" si="4"/>
        <v/>
      </c>
      <c r="R18" s="14" t="str">
        <f t="shared" ca="1" si="4"/>
        <v/>
      </c>
      <c r="S18" s="14" t="str">
        <f t="shared" ca="1" si="4"/>
        <v/>
      </c>
      <c r="T18" s="14" t="str">
        <f t="shared" ca="1" si="4"/>
        <v/>
      </c>
      <c r="U18" s="14" t="str">
        <f t="shared" ca="1" si="4"/>
        <v/>
      </c>
      <c r="V18" s="14" t="str">
        <f t="shared" ca="1" si="4"/>
        <v/>
      </c>
      <c r="W18" s="14" t="str">
        <f t="shared" ca="1" si="4"/>
        <v/>
      </c>
      <c r="X18" s="14" t="str">
        <f t="shared" ca="1" si="4"/>
        <v/>
      </c>
      <c r="Y18" s="14" t="str">
        <f t="shared" ca="1" si="5"/>
        <v/>
      </c>
      <c r="Z18" s="14" t="str">
        <f t="shared" ca="1" si="5"/>
        <v/>
      </c>
      <c r="AA18" s="14" t="str">
        <f t="shared" ca="1" si="5"/>
        <v/>
      </c>
      <c r="AB18" s="14" t="str">
        <f t="shared" ca="1" si="5"/>
        <v/>
      </c>
      <c r="AC18" s="14" t="str">
        <f t="shared" ca="1" si="5"/>
        <v/>
      </c>
      <c r="AD18" s="14" t="str">
        <f t="shared" ca="1" si="5"/>
        <v/>
      </c>
      <c r="AE18" s="14" t="str">
        <f t="shared" ca="1" si="5"/>
        <v/>
      </c>
      <c r="AF18" s="14" t="str">
        <f t="shared" ca="1" si="5"/>
        <v/>
      </c>
      <c r="AG18" s="14" t="str">
        <f t="shared" ca="1" si="5"/>
        <v/>
      </c>
      <c r="AH18" s="14" t="str">
        <f t="shared" ca="1" si="5"/>
        <v/>
      </c>
      <c r="AI18" s="14" t="str">
        <f t="shared" ca="1" si="5"/>
        <v/>
      </c>
      <c r="AJ18" s="14" t="str">
        <f t="shared" ca="1" si="5"/>
        <v/>
      </c>
      <c r="AK18" s="14" t="str">
        <f t="shared" ca="1" si="5"/>
        <v/>
      </c>
      <c r="AL18" s="14" t="str">
        <f t="shared" ca="1" si="5"/>
        <v/>
      </c>
      <c r="AM18" s="14" t="str">
        <f t="shared" ca="1" si="5"/>
        <v/>
      </c>
      <c r="AN18" s="14" t="str">
        <f t="shared" ca="1" si="5"/>
        <v/>
      </c>
      <c r="AO18" s="14" t="str">
        <f t="shared" ca="1" si="6"/>
        <v/>
      </c>
      <c r="AP18" s="14" t="str">
        <f t="shared" ca="1" si="6"/>
        <v/>
      </c>
      <c r="AQ18" s="14" t="str">
        <f t="shared" ca="1" si="6"/>
        <v/>
      </c>
      <c r="AR18" s="14" t="str">
        <f t="shared" ca="1" si="6"/>
        <v/>
      </c>
      <c r="AS18" s="14" t="str">
        <f t="shared" ca="1" si="6"/>
        <v/>
      </c>
      <c r="AT18" s="14" t="str">
        <f t="shared" ca="1" si="6"/>
        <v/>
      </c>
      <c r="AU18" s="14" t="str">
        <f t="shared" ca="1" si="6"/>
        <v/>
      </c>
      <c r="AV18" s="14" t="str">
        <f t="shared" ca="1" si="6"/>
        <v/>
      </c>
      <c r="AW18" s="14" t="str">
        <f t="shared" ca="1" si="6"/>
        <v/>
      </c>
      <c r="AX18" s="14" t="str">
        <f t="shared" ca="1" si="6"/>
        <v/>
      </c>
      <c r="AY18" s="14" t="str">
        <f t="shared" ca="1" si="6"/>
        <v/>
      </c>
      <c r="AZ18" s="14" t="str">
        <f t="shared" ca="1" si="6"/>
        <v/>
      </c>
      <c r="BA18" s="14" t="str">
        <f t="shared" ca="1" si="6"/>
        <v/>
      </c>
      <c r="BB18" s="14" t="str">
        <f t="shared" ca="1" si="6"/>
        <v/>
      </c>
      <c r="BC18" s="14" t="str">
        <f t="shared" ca="1" si="6"/>
        <v/>
      </c>
      <c r="BD18" s="14" t="str">
        <f t="shared" ca="1" si="6"/>
        <v/>
      </c>
      <c r="BE18" s="14" t="str">
        <f t="shared" ca="1" si="7"/>
        <v/>
      </c>
      <c r="BF18" s="14" t="str">
        <f t="shared" ca="1" si="7"/>
        <v/>
      </c>
      <c r="BG18" s="14" t="str">
        <f t="shared" ca="1" si="7"/>
        <v/>
      </c>
      <c r="BH18" s="14" t="str">
        <f t="shared" ca="1" si="7"/>
        <v/>
      </c>
      <c r="BI18" s="14" t="str">
        <f t="shared" ca="1" si="7"/>
        <v/>
      </c>
      <c r="BJ18" s="14" t="str">
        <f t="shared" ca="1" si="7"/>
        <v/>
      </c>
      <c r="BK18" s="14" t="str">
        <f t="shared" ca="1" si="7"/>
        <v/>
      </c>
      <c r="BL18" s="14" t="str">
        <f t="shared" ca="1" si="7"/>
        <v/>
      </c>
    </row>
    <row r="19" spans="1:64" s="1" customFormat="1" ht="40.15" customHeight="1">
      <c r="A19" s="6"/>
      <c r="B19" s="21" t="s">
        <v>21</v>
      </c>
      <c r="C19" s="17" t="s">
        <v>30</v>
      </c>
      <c r="D19" s="17"/>
      <c r="E19" s="18">
        <v>0.5</v>
      </c>
      <c r="F19" s="19">
        <f ca="1">F18+2</f>
        <v>45577</v>
      </c>
      <c r="G19" s="20">
        <v>9</v>
      </c>
      <c r="H19" s="17"/>
      <c r="I19" s="14" t="str">
        <f t="shared" ca="1" si="8"/>
        <v/>
      </c>
      <c r="J19" s="14" t="str">
        <f t="shared" ca="1" si="4"/>
        <v/>
      </c>
      <c r="K19" s="14" t="str">
        <f t="shared" ca="1" si="4"/>
        <v/>
      </c>
      <c r="L19" s="14" t="str">
        <f t="shared" ca="1" si="4"/>
        <v/>
      </c>
      <c r="M19" s="14" t="str">
        <f t="shared" ca="1" si="4"/>
        <v/>
      </c>
      <c r="N19" s="14" t="str">
        <f t="shared" ca="1" si="4"/>
        <v/>
      </c>
      <c r="O19" s="14" t="str">
        <f t="shared" ca="1" si="4"/>
        <v/>
      </c>
      <c r="P19" s="14" t="str">
        <f t="shared" ca="1" si="4"/>
        <v/>
      </c>
      <c r="Q19" s="14" t="str">
        <f t="shared" ca="1" si="4"/>
        <v/>
      </c>
      <c r="R19" s="14" t="str">
        <f t="shared" ca="1" si="4"/>
        <v/>
      </c>
      <c r="S19" s="14" t="str">
        <f t="shared" ca="1" si="4"/>
        <v/>
      </c>
      <c r="T19" s="14" t="str">
        <f t="shared" ca="1" si="4"/>
        <v/>
      </c>
      <c r="U19" s="14" t="str">
        <f t="shared" ca="1" si="4"/>
        <v/>
      </c>
      <c r="V19" s="14" t="str">
        <f t="shared" ca="1" si="4"/>
        <v/>
      </c>
      <c r="W19" s="14" t="str">
        <f t="shared" ca="1" si="4"/>
        <v/>
      </c>
      <c r="X19" s="14" t="str">
        <f t="shared" ca="1" si="4"/>
        <v/>
      </c>
      <c r="Y19" s="14" t="str">
        <f t="shared" ca="1" si="5"/>
        <v/>
      </c>
      <c r="Z19" s="14" t="str">
        <f t="shared" ca="1" si="5"/>
        <v/>
      </c>
      <c r="AA19" s="14" t="str">
        <f t="shared" ca="1" si="5"/>
        <v/>
      </c>
      <c r="AB19" s="14" t="str">
        <f t="shared" ca="1" si="5"/>
        <v/>
      </c>
      <c r="AC19" s="14" t="str">
        <f t="shared" ca="1" si="5"/>
        <v/>
      </c>
      <c r="AD19" s="14" t="str">
        <f t="shared" ca="1" si="5"/>
        <v/>
      </c>
      <c r="AE19" s="14" t="str">
        <f t="shared" ca="1" si="5"/>
        <v/>
      </c>
      <c r="AF19" s="14" t="str">
        <f t="shared" ca="1" si="5"/>
        <v/>
      </c>
      <c r="AG19" s="14" t="str">
        <f t="shared" ca="1" si="5"/>
        <v/>
      </c>
      <c r="AH19" s="14" t="str">
        <f t="shared" ca="1" si="5"/>
        <v/>
      </c>
      <c r="AI19" s="14" t="str">
        <f t="shared" ca="1" si="5"/>
        <v/>
      </c>
      <c r="AJ19" s="14" t="str">
        <f t="shared" ca="1" si="5"/>
        <v/>
      </c>
      <c r="AK19" s="14" t="str">
        <f t="shared" ca="1" si="5"/>
        <v/>
      </c>
      <c r="AL19" s="14" t="str">
        <f t="shared" ca="1" si="5"/>
        <v/>
      </c>
      <c r="AM19" s="14" t="str">
        <f t="shared" ca="1" si="5"/>
        <v/>
      </c>
      <c r="AN19" s="14" t="str">
        <f t="shared" ca="1" si="5"/>
        <v/>
      </c>
      <c r="AO19" s="14" t="str">
        <f t="shared" ca="1" si="6"/>
        <v/>
      </c>
      <c r="AP19" s="14" t="str">
        <f t="shared" ca="1" si="6"/>
        <v/>
      </c>
      <c r="AQ19" s="14" t="str">
        <f t="shared" ca="1" si="6"/>
        <v/>
      </c>
      <c r="AR19" s="14" t="str">
        <f t="shared" ca="1" si="6"/>
        <v/>
      </c>
      <c r="AS19" s="14" t="str">
        <f t="shared" ca="1" si="6"/>
        <v/>
      </c>
      <c r="AT19" s="14" t="str">
        <f t="shared" ca="1" si="6"/>
        <v/>
      </c>
      <c r="AU19" s="14" t="str">
        <f t="shared" ca="1" si="6"/>
        <v/>
      </c>
      <c r="AV19" s="14" t="str">
        <f t="shared" ca="1" si="6"/>
        <v/>
      </c>
      <c r="AW19" s="14" t="str">
        <f t="shared" ca="1" si="6"/>
        <v/>
      </c>
      <c r="AX19" s="14" t="str">
        <f t="shared" ca="1" si="6"/>
        <v/>
      </c>
      <c r="AY19" s="14" t="str">
        <f t="shared" ca="1" si="6"/>
        <v/>
      </c>
      <c r="AZ19" s="14" t="str">
        <f t="shared" ca="1" si="6"/>
        <v/>
      </c>
      <c r="BA19" s="14" t="str">
        <f t="shared" ca="1" si="6"/>
        <v/>
      </c>
      <c r="BB19" s="14" t="str">
        <f t="shared" ca="1" si="6"/>
        <v/>
      </c>
      <c r="BC19" s="14" t="str">
        <f t="shared" ca="1" si="6"/>
        <v/>
      </c>
      <c r="BD19" s="14" t="str">
        <f t="shared" ca="1" si="6"/>
        <v/>
      </c>
      <c r="BE19" s="14" t="str">
        <f t="shared" ca="1" si="7"/>
        <v/>
      </c>
      <c r="BF19" s="14" t="str">
        <f t="shared" ca="1" si="7"/>
        <v/>
      </c>
      <c r="BG19" s="14" t="str">
        <f t="shared" ca="1" si="7"/>
        <v/>
      </c>
      <c r="BH19" s="14" t="str">
        <f t="shared" ca="1" si="7"/>
        <v/>
      </c>
      <c r="BI19" s="14" t="str">
        <f t="shared" ca="1" si="7"/>
        <v/>
      </c>
      <c r="BJ19" s="14" t="str">
        <f t="shared" ca="1" si="7"/>
        <v/>
      </c>
      <c r="BK19" s="14" t="str">
        <f t="shared" ca="1" si="7"/>
        <v/>
      </c>
      <c r="BL19" s="14" t="str">
        <f t="shared" ca="1" si="7"/>
        <v/>
      </c>
    </row>
    <row r="20" spans="1:64" s="1" customFormat="1" ht="40.15" customHeight="1">
      <c r="A20" s="6"/>
      <c r="B20" s="21" t="s">
        <v>23</v>
      </c>
      <c r="C20" s="17" t="s">
        <v>24</v>
      </c>
      <c r="D20" s="17"/>
      <c r="E20" s="18">
        <v>0.33</v>
      </c>
      <c r="F20" s="19">
        <f ca="1">F19+5</f>
        <v>45582</v>
      </c>
      <c r="G20" s="20">
        <v>11</v>
      </c>
      <c r="H20" s="17"/>
      <c r="I20" s="14" t="str">
        <f t="shared" ca="1" si="8"/>
        <v/>
      </c>
      <c r="J20" s="14" t="str">
        <f t="shared" ca="1" si="4"/>
        <v/>
      </c>
      <c r="K20" s="14" t="str">
        <f t="shared" ca="1" si="4"/>
        <v/>
      </c>
      <c r="L20" s="14" t="str">
        <f t="shared" ca="1" si="4"/>
        <v/>
      </c>
      <c r="M20" s="14" t="str">
        <f t="shared" ca="1" si="4"/>
        <v/>
      </c>
      <c r="N20" s="14" t="str">
        <f t="shared" ca="1" si="4"/>
        <v/>
      </c>
      <c r="O20" s="14" t="str">
        <f t="shared" ca="1" si="4"/>
        <v/>
      </c>
      <c r="P20" s="14" t="str">
        <f t="shared" ca="1" si="4"/>
        <v/>
      </c>
      <c r="Q20" s="14" t="str">
        <f t="shared" ca="1" si="4"/>
        <v/>
      </c>
      <c r="R20" s="14" t="str">
        <f t="shared" ca="1" si="4"/>
        <v/>
      </c>
      <c r="S20" s="14" t="str">
        <f t="shared" ca="1" si="4"/>
        <v/>
      </c>
      <c r="T20" s="14" t="str">
        <f t="shared" ca="1" si="4"/>
        <v/>
      </c>
      <c r="U20" s="14" t="str">
        <f t="shared" ca="1" si="4"/>
        <v/>
      </c>
      <c r="V20" s="14" t="str">
        <f t="shared" ca="1" si="4"/>
        <v/>
      </c>
      <c r="W20" s="14" t="str">
        <f t="shared" ca="1" si="4"/>
        <v/>
      </c>
      <c r="X20" s="14" t="str">
        <f t="shared" ca="1" si="4"/>
        <v/>
      </c>
      <c r="Y20" s="14" t="str">
        <f t="shared" ca="1" si="5"/>
        <v/>
      </c>
      <c r="Z20" s="14" t="str">
        <f t="shared" ca="1" si="5"/>
        <v/>
      </c>
      <c r="AA20" s="14" t="str">
        <f t="shared" ca="1" si="5"/>
        <v/>
      </c>
      <c r="AB20" s="14" t="str">
        <f t="shared" ca="1" si="5"/>
        <v/>
      </c>
      <c r="AC20" s="14" t="str">
        <f t="shared" ca="1" si="5"/>
        <v/>
      </c>
      <c r="AD20" s="14" t="str">
        <f t="shared" ca="1" si="5"/>
        <v/>
      </c>
      <c r="AE20" s="14" t="str">
        <f t="shared" ca="1" si="5"/>
        <v/>
      </c>
      <c r="AF20" s="14" t="str">
        <f t="shared" ca="1" si="5"/>
        <v/>
      </c>
      <c r="AG20" s="14" t="str">
        <f t="shared" ca="1" si="5"/>
        <v/>
      </c>
      <c r="AH20" s="14" t="str">
        <f t="shared" ca="1" si="5"/>
        <v/>
      </c>
      <c r="AI20" s="14" t="str">
        <f t="shared" ca="1" si="5"/>
        <v/>
      </c>
      <c r="AJ20" s="14" t="str">
        <f t="shared" ca="1" si="5"/>
        <v/>
      </c>
      <c r="AK20" s="14" t="str">
        <f t="shared" ca="1" si="5"/>
        <v/>
      </c>
      <c r="AL20" s="14" t="str">
        <f t="shared" ca="1" si="5"/>
        <v/>
      </c>
      <c r="AM20" s="14" t="str">
        <f t="shared" ca="1" si="5"/>
        <v/>
      </c>
      <c r="AN20" s="14" t="str">
        <f t="shared" ca="1" si="5"/>
        <v/>
      </c>
      <c r="AO20" s="14" t="str">
        <f t="shared" ca="1" si="6"/>
        <v/>
      </c>
      <c r="AP20" s="14" t="str">
        <f t="shared" ca="1" si="6"/>
        <v/>
      </c>
      <c r="AQ20" s="14" t="str">
        <f t="shared" ca="1" si="6"/>
        <v/>
      </c>
      <c r="AR20" s="14" t="str">
        <f t="shared" ca="1" si="6"/>
        <v/>
      </c>
      <c r="AS20" s="14" t="str">
        <f t="shared" ca="1" si="6"/>
        <v/>
      </c>
      <c r="AT20" s="14" t="str">
        <f t="shared" ca="1" si="6"/>
        <v/>
      </c>
      <c r="AU20" s="14" t="str">
        <f t="shared" ca="1" si="6"/>
        <v/>
      </c>
      <c r="AV20" s="14" t="str">
        <f t="shared" ca="1" si="6"/>
        <v/>
      </c>
      <c r="AW20" s="14" t="str">
        <f t="shared" ca="1" si="6"/>
        <v/>
      </c>
      <c r="AX20" s="14" t="str">
        <f t="shared" ca="1" si="6"/>
        <v/>
      </c>
      <c r="AY20" s="14" t="str">
        <f t="shared" ca="1" si="6"/>
        <v/>
      </c>
      <c r="AZ20" s="14" t="str">
        <f t="shared" ca="1" si="6"/>
        <v/>
      </c>
      <c r="BA20" s="14" t="str">
        <f t="shared" ca="1" si="6"/>
        <v/>
      </c>
      <c r="BB20" s="14" t="str">
        <f t="shared" ca="1" si="6"/>
        <v/>
      </c>
      <c r="BC20" s="14" t="str">
        <f t="shared" ca="1" si="6"/>
        <v/>
      </c>
      <c r="BD20" s="14" t="str">
        <f t="shared" ca="1" si="6"/>
        <v/>
      </c>
      <c r="BE20" s="14" t="str">
        <f t="shared" ca="1" si="7"/>
        <v/>
      </c>
      <c r="BF20" s="14" t="str">
        <f t="shared" ca="1" si="7"/>
        <v/>
      </c>
      <c r="BG20" s="14" t="str">
        <f t="shared" ca="1" si="7"/>
        <v/>
      </c>
      <c r="BH20" s="14" t="str">
        <f t="shared" ca="1" si="7"/>
        <v/>
      </c>
      <c r="BI20" s="14" t="str">
        <f t="shared" ca="1" si="7"/>
        <v/>
      </c>
      <c r="BJ20" s="14" t="str">
        <f t="shared" ca="1" si="7"/>
        <v/>
      </c>
      <c r="BK20" s="14" t="str">
        <f t="shared" ca="1" si="7"/>
        <v/>
      </c>
      <c r="BL20" s="14" t="str">
        <f t="shared" ca="1" si="7"/>
        <v/>
      </c>
    </row>
    <row r="21" spans="1:64" s="1" customFormat="1" ht="40.15" customHeight="1">
      <c r="A21" s="6"/>
      <c r="B21" s="21" t="s">
        <v>25</v>
      </c>
      <c r="C21" s="17" t="s">
        <v>22</v>
      </c>
      <c r="D21" s="17"/>
      <c r="E21" s="18"/>
      <c r="F21" s="19">
        <f ca="1">F20+2</f>
        <v>45584</v>
      </c>
      <c r="G21" s="20">
        <v>1</v>
      </c>
      <c r="H21" s="17"/>
      <c r="I21" s="14" t="str">
        <f t="shared" ca="1" si="8"/>
        <v/>
      </c>
      <c r="J21" s="14" t="str">
        <f t="shared" ca="1" si="4"/>
        <v/>
      </c>
      <c r="K21" s="14" t="str">
        <f t="shared" ca="1" si="4"/>
        <v/>
      </c>
      <c r="L21" s="14" t="str">
        <f t="shared" ca="1" si="4"/>
        <v/>
      </c>
      <c r="M21" s="14" t="str">
        <f t="shared" ca="1" si="4"/>
        <v/>
      </c>
      <c r="N21" s="14" t="str">
        <f t="shared" ca="1" si="4"/>
        <v/>
      </c>
      <c r="O21" s="14" t="str">
        <f t="shared" ca="1" si="4"/>
        <v/>
      </c>
      <c r="P21" s="14" t="str">
        <f t="shared" ca="1" si="4"/>
        <v/>
      </c>
      <c r="Q21" s="14" t="str">
        <f t="shared" ca="1" si="4"/>
        <v/>
      </c>
      <c r="R21" s="14" t="str">
        <f t="shared" ca="1" si="4"/>
        <v/>
      </c>
      <c r="S21" s="14">
        <f t="shared" ca="1" si="4"/>
        <v>1</v>
      </c>
      <c r="T21" s="14" t="str">
        <f t="shared" ca="1" si="4"/>
        <v/>
      </c>
      <c r="U21" s="14" t="str">
        <f t="shared" ca="1" si="4"/>
        <v/>
      </c>
      <c r="V21" s="14" t="str">
        <f t="shared" ca="1" si="4"/>
        <v/>
      </c>
      <c r="W21" s="14" t="str">
        <f t="shared" ca="1" si="4"/>
        <v/>
      </c>
      <c r="X21" s="14" t="str">
        <f t="shared" ca="1" si="4"/>
        <v/>
      </c>
      <c r="Y21" s="14" t="str">
        <f t="shared" ca="1" si="5"/>
        <v/>
      </c>
      <c r="Z21" s="14" t="str">
        <f t="shared" ca="1" si="5"/>
        <v/>
      </c>
      <c r="AA21" s="14" t="str">
        <f t="shared" ca="1" si="5"/>
        <v/>
      </c>
      <c r="AB21" s="14" t="str">
        <f t="shared" ca="1" si="5"/>
        <v/>
      </c>
      <c r="AC21" s="14" t="str">
        <f t="shared" ca="1" si="5"/>
        <v/>
      </c>
      <c r="AD21" s="14" t="str">
        <f t="shared" ca="1" si="5"/>
        <v/>
      </c>
      <c r="AE21" s="14" t="str">
        <f t="shared" ca="1" si="5"/>
        <v/>
      </c>
      <c r="AF21" s="14" t="str">
        <f t="shared" ca="1" si="5"/>
        <v/>
      </c>
      <c r="AG21" s="14" t="str">
        <f t="shared" ca="1" si="5"/>
        <v/>
      </c>
      <c r="AH21" s="14" t="str">
        <f t="shared" ca="1" si="5"/>
        <v/>
      </c>
      <c r="AI21" s="14" t="str">
        <f t="shared" ca="1" si="5"/>
        <v/>
      </c>
      <c r="AJ21" s="14" t="str">
        <f t="shared" ca="1" si="5"/>
        <v/>
      </c>
      <c r="AK21" s="14" t="str">
        <f t="shared" ca="1" si="5"/>
        <v/>
      </c>
      <c r="AL21" s="14" t="str">
        <f t="shared" ca="1" si="5"/>
        <v/>
      </c>
      <c r="AM21" s="14" t="str">
        <f t="shared" ca="1" si="5"/>
        <v/>
      </c>
      <c r="AN21" s="14" t="str">
        <f t="shared" ca="1" si="5"/>
        <v/>
      </c>
      <c r="AO21" s="14" t="str">
        <f t="shared" ca="1" si="6"/>
        <v/>
      </c>
      <c r="AP21" s="14" t="str">
        <f t="shared" ca="1" si="6"/>
        <v/>
      </c>
      <c r="AQ21" s="14" t="str">
        <f t="shared" ca="1" si="6"/>
        <v/>
      </c>
      <c r="AR21" s="14" t="str">
        <f t="shared" ca="1" si="6"/>
        <v/>
      </c>
      <c r="AS21" s="14" t="str">
        <f t="shared" ca="1" si="6"/>
        <v/>
      </c>
      <c r="AT21" s="14" t="str">
        <f t="shared" ca="1" si="6"/>
        <v/>
      </c>
      <c r="AU21" s="14" t="str">
        <f t="shared" ca="1" si="6"/>
        <v/>
      </c>
      <c r="AV21" s="14" t="str">
        <f t="shared" ca="1" si="6"/>
        <v/>
      </c>
      <c r="AW21" s="14" t="str">
        <f t="shared" ca="1" si="6"/>
        <v/>
      </c>
      <c r="AX21" s="14" t="str">
        <f t="shared" ca="1" si="6"/>
        <v/>
      </c>
      <c r="AY21" s="14" t="str">
        <f t="shared" ca="1" si="6"/>
        <v/>
      </c>
      <c r="AZ21" s="14" t="str">
        <f t="shared" ca="1" si="6"/>
        <v/>
      </c>
      <c r="BA21" s="14" t="str">
        <f t="shared" ca="1" si="6"/>
        <v/>
      </c>
      <c r="BB21" s="14" t="str">
        <f t="shared" ca="1" si="6"/>
        <v/>
      </c>
      <c r="BC21" s="14" t="str">
        <f t="shared" ca="1" si="6"/>
        <v/>
      </c>
      <c r="BD21" s="14" t="str">
        <f t="shared" ca="1" si="6"/>
        <v/>
      </c>
      <c r="BE21" s="14" t="str">
        <f t="shared" ca="1" si="7"/>
        <v/>
      </c>
      <c r="BF21" s="14" t="str">
        <f t="shared" ca="1" si="7"/>
        <v/>
      </c>
      <c r="BG21" s="14" t="str">
        <f t="shared" ca="1" si="7"/>
        <v/>
      </c>
      <c r="BH21" s="14" t="str">
        <f t="shared" ca="1" si="7"/>
        <v/>
      </c>
      <c r="BI21" s="14" t="str">
        <f t="shared" ca="1" si="7"/>
        <v/>
      </c>
      <c r="BJ21" s="14" t="str">
        <f t="shared" ca="1" si="7"/>
        <v/>
      </c>
      <c r="BK21" s="14" t="str">
        <f t="shared" ca="1" si="7"/>
        <v/>
      </c>
      <c r="BL21" s="14" t="str">
        <f t="shared" ca="1" si="7"/>
        <v/>
      </c>
    </row>
    <row r="22" spans="1:64" s="1" customFormat="1" ht="40.15" customHeight="1">
      <c r="A22" s="6"/>
      <c r="B22" s="21" t="s">
        <v>26</v>
      </c>
      <c r="C22" s="17"/>
      <c r="D22" s="17"/>
      <c r="E22" s="18"/>
      <c r="F22" s="19">
        <f ca="1">F21+1</f>
        <v>45585</v>
      </c>
      <c r="G22" s="20">
        <v>24</v>
      </c>
      <c r="H22" s="17"/>
      <c r="I22" s="14" t="str">
        <f t="shared" ca="1" si="8"/>
        <v/>
      </c>
      <c r="J22" s="14" t="str">
        <f t="shared" ca="1" si="4"/>
        <v/>
      </c>
      <c r="K22" s="14" t="str">
        <f t="shared" ca="1" si="4"/>
        <v/>
      </c>
      <c r="L22" s="14" t="str">
        <f t="shared" ca="1" si="4"/>
        <v/>
      </c>
      <c r="M22" s="14" t="str">
        <f t="shared" ca="1" si="4"/>
        <v/>
      </c>
      <c r="N22" s="14" t="str">
        <f t="shared" ca="1" si="4"/>
        <v/>
      </c>
      <c r="O22" s="14" t="str">
        <f t="shared" ca="1" si="4"/>
        <v/>
      </c>
      <c r="P22" s="14" t="str">
        <f t="shared" ca="1" si="4"/>
        <v/>
      </c>
      <c r="Q22" s="14" t="str">
        <f t="shared" ca="1" si="4"/>
        <v/>
      </c>
      <c r="R22" s="14" t="str">
        <f t="shared" ca="1" si="4"/>
        <v/>
      </c>
      <c r="S22" s="14" t="str">
        <f t="shared" ca="1" si="4"/>
        <v/>
      </c>
      <c r="T22" s="14" t="str">
        <f t="shared" ca="1" si="4"/>
        <v/>
      </c>
      <c r="U22" s="14" t="str">
        <f t="shared" ca="1" si="4"/>
        <v/>
      </c>
      <c r="V22" s="14" t="str">
        <f t="shared" ca="1" si="4"/>
        <v/>
      </c>
      <c r="W22" s="14" t="str">
        <f t="shared" ca="1" si="4"/>
        <v/>
      </c>
      <c r="X22" s="14" t="str">
        <f t="shared" ca="1" si="4"/>
        <v/>
      </c>
      <c r="Y22" s="14" t="str">
        <f t="shared" ca="1" si="5"/>
        <v/>
      </c>
      <c r="Z22" s="14" t="str">
        <f t="shared" ca="1" si="5"/>
        <v/>
      </c>
      <c r="AA22" s="14" t="str">
        <f t="shared" ca="1" si="5"/>
        <v/>
      </c>
      <c r="AB22" s="14" t="str">
        <f t="shared" ca="1" si="5"/>
        <v/>
      </c>
      <c r="AC22" s="14" t="str">
        <f t="shared" ca="1" si="5"/>
        <v/>
      </c>
      <c r="AD22" s="14" t="str">
        <f t="shared" ca="1" si="5"/>
        <v/>
      </c>
      <c r="AE22" s="14" t="str">
        <f t="shared" ca="1" si="5"/>
        <v/>
      </c>
      <c r="AF22" s="14" t="str">
        <f t="shared" ca="1" si="5"/>
        <v/>
      </c>
      <c r="AG22" s="14" t="str">
        <f t="shared" ca="1" si="5"/>
        <v/>
      </c>
      <c r="AH22" s="14" t="str">
        <f t="shared" ca="1" si="5"/>
        <v/>
      </c>
      <c r="AI22" s="14" t="str">
        <f t="shared" ca="1" si="5"/>
        <v/>
      </c>
      <c r="AJ22" s="14" t="str">
        <f t="shared" ca="1" si="5"/>
        <v/>
      </c>
      <c r="AK22" s="14" t="str">
        <f t="shared" ca="1" si="5"/>
        <v/>
      </c>
      <c r="AL22" s="14" t="str">
        <f t="shared" ca="1" si="5"/>
        <v/>
      </c>
      <c r="AM22" s="14" t="str">
        <f t="shared" ca="1" si="5"/>
        <v/>
      </c>
      <c r="AN22" s="14" t="str">
        <f t="shared" ca="1" si="5"/>
        <v/>
      </c>
      <c r="AO22" s="14" t="str">
        <f t="shared" ca="1" si="6"/>
        <v/>
      </c>
      <c r="AP22" s="14" t="str">
        <f t="shared" ca="1" si="6"/>
        <v/>
      </c>
      <c r="AQ22" s="14" t="str">
        <f t="shared" ca="1" si="6"/>
        <v/>
      </c>
      <c r="AR22" s="14" t="str">
        <f t="shared" ca="1" si="6"/>
        <v/>
      </c>
      <c r="AS22" s="14" t="str">
        <f t="shared" ca="1" si="6"/>
        <v/>
      </c>
      <c r="AT22" s="14" t="str">
        <f t="shared" ca="1" si="6"/>
        <v/>
      </c>
      <c r="AU22" s="14" t="str">
        <f t="shared" ca="1" si="6"/>
        <v/>
      </c>
      <c r="AV22" s="14" t="str">
        <f t="shared" ca="1" si="6"/>
        <v/>
      </c>
      <c r="AW22" s="14" t="str">
        <f t="shared" ca="1" si="6"/>
        <v/>
      </c>
      <c r="AX22" s="14" t="str">
        <f t="shared" ca="1" si="6"/>
        <v/>
      </c>
      <c r="AY22" s="14" t="str">
        <f t="shared" ca="1" si="6"/>
        <v/>
      </c>
      <c r="AZ22" s="14" t="str">
        <f t="shared" ca="1" si="6"/>
        <v/>
      </c>
      <c r="BA22" s="14" t="str">
        <f t="shared" ca="1" si="6"/>
        <v/>
      </c>
      <c r="BB22" s="14" t="str">
        <f t="shared" ca="1" si="6"/>
        <v/>
      </c>
      <c r="BC22" s="14" t="str">
        <f t="shared" ca="1" si="6"/>
        <v/>
      </c>
      <c r="BD22" s="14" t="str">
        <f t="shared" ca="1" si="6"/>
        <v/>
      </c>
      <c r="BE22" s="14" t="str">
        <f t="shared" ca="1" si="7"/>
        <v/>
      </c>
      <c r="BF22" s="14" t="str">
        <f t="shared" ca="1" si="7"/>
        <v/>
      </c>
      <c r="BG22" s="14" t="str">
        <f t="shared" ca="1" si="7"/>
        <v/>
      </c>
      <c r="BH22" s="14" t="str">
        <f t="shared" ca="1" si="7"/>
        <v/>
      </c>
      <c r="BI22" s="14" t="str">
        <f t="shared" ca="1" si="7"/>
        <v/>
      </c>
      <c r="BJ22" s="14" t="str">
        <f t="shared" ca="1" si="7"/>
        <v/>
      </c>
      <c r="BK22" s="14" t="str">
        <f t="shared" ca="1" si="7"/>
        <v/>
      </c>
      <c r="BL22" s="14" t="str">
        <f t="shared" ca="1" si="7"/>
        <v/>
      </c>
    </row>
    <row r="23" spans="1:64" s="1" customFormat="1" ht="40.15" customHeight="1">
      <c r="A23" s="6"/>
      <c r="B23" s="58" t="s">
        <v>31</v>
      </c>
      <c r="C23" s="17"/>
      <c r="D23" s="17"/>
      <c r="E23" s="18"/>
      <c r="F23" s="19"/>
      <c r="G23" s="20"/>
      <c r="H23" s="17"/>
      <c r="I23" s="14" t="str">
        <f t="shared" ca="1" si="8"/>
        <v/>
      </c>
      <c r="J23" s="14" t="str">
        <f t="shared" ca="1" si="4"/>
        <v/>
      </c>
      <c r="K23" s="14" t="str">
        <f t="shared" ca="1" si="4"/>
        <v/>
      </c>
      <c r="L23" s="14" t="str">
        <f t="shared" ca="1" si="4"/>
        <v/>
      </c>
      <c r="M23" s="14" t="str">
        <f t="shared" ca="1" si="4"/>
        <v/>
      </c>
      <c r="N23" s="14" t="str">
        <f t="shared" ca="1" si="4"/>
        <v/>
      </c>
      <c r="O23" s="14" t="str">
        <f t="shared" ca="1" si="4"/>
        <v/>
      </c>
      <c r="P23" s="14" t="str">
        <f t="shared" ca="1" si="4"/>
        <v/>
      </c>
      <c r="Q23" s="14" t="str">
        <f t="shared" ca="1" si="4"/>
        <v/>
      </c>
      <c r="R23" s="14" t="str">
        <f t="shared" ca="1" si="4"/>
        <v/>
      </c>
      <c r="S23" s="14" t="str">
        <f t="shared" ca="1" si="4"/>
        <v/>
      </c>
      <c r="T23" s="14" t="str">
        <f t="shared" ca="1" si="4"/>
        <v/>
      </c>
      <c r="U23" s="14" t="str">
        <f t="shared" ca="1" si="4"/>
        <v/>
      </c>
      <c r="V23" s="14" t="str">
        <f t="shared" ca="1" si="4"/>
        <v/>
      </c>
      <c r="W23" s="14" t="str">
        <f t="shared" ca="1" si="4"/>
        <v/>
      </c>
      <c r="X23" s="14" t="str">
        <f t="shared" ca="1" si="4"/>
        <v/>
      </c>
      <c r="Y23" s="14" t="str">
        <f t="shared" ca="1" si="5"/>
        <v/>
      </c>
      <c r="Z23" s="14" t="str">
        <f t="shared" ca="1" si="5"/>
        <v/>
      </c>
      <c r="AA23" s="14" t="str">
        <f t="shared" ca="1" si="5"/>
        <v/>
      </c>
      <c r="AB23" s="14" t="str">
        <f t="shared" ca="1" si="5"/>
        <v/>
      </c>
      <c r="AC23" s="14" t="str">
        <f t="shared" ca="1" si="5"/>
        <v/>
      </c>
      <c r="AD23" s="14" t="str">
        <f t="shared" ca="1" si="5"/>
        <v/>
      </c>
      <c r="AE23" s="14" t="str">
        <f t="shared" ca="1" si="5"/>
        <v/>
      </c>
      <c r="AF23" s="14" t="str">
        <f t="shared" ca="1" si="5"/>
        <v/>
      </c>
      <c r="AG23" s="14" t="str">
        <f t="shared" ca="1" si="5"/>
        <v/>
      </c>
      <c r="AH23" s="14" t="str">
        <f t="shared" ca="1" si="5"/>
        <v/>
      </c>
      <c r="AI23" s="14" t="str">
        <f t="shared" ca="1" si="5"/>
        <v/>
      </c>
      <c r="AJ23" s="14" t="str">
        <f t="shared" ca="1" si="5"/>
        <v/>
      </c>
      <c r="AK23" s="14" t="str">
        <f t="shared" ca="1" si="5"/>
        <v/>
      </c>
      <c r="AL23" s="14" t="str">
        <f t="shared" ca="1" si="5"/>
        <v/>
      </c>
      <c r="AM23" s="14" t="str">
        <f t="shared" ca="1" si="5"/>
        <v/>
      </c>
      <c r="AN23" s="14" t="str">
        <f t="shared" ca="1" si="5"/>
        <v/>
      </c>
      <c r="AO23" s="14" t="str">
        <f t="shared" ca="1" si="6"/>
        <v/>
      </c>
      <c r="AP23" s="14" t="str">
        <f t="shared" ca="1" si="6"/>
        <v/>
      </c>
      <c r="AQ23" s="14" t="str">
        <f t="shared" ca="1" si="6"/>
        <v/>
      </c>
      <c r="AR23" s="14" t="str">
        <f t="shared" ca="1" si="6"/>
        <v/>
      </c>
      <c r="AS23" s="14" t="str">
        <f t="shared" ca="1" si="6"/>
        <v/>
      </c>
      <c r="AT23" s="14" t="str">
        <f t="shared" ca="1" si="6"/>
        <v/>
      </c>
      <c r="AU23" s="14" t="str">
        <f t="shared" ca="1" si="6"/>
        <v/>
      </c>
      <c r="AV23" s="14" t="str">
        <f t="shared" ca="1" si="6"/>
        <v/>
      </c>
      <c r="AW23" s="14" t="str">
        <f t="shared" ca="1" si="6"/>
        <v/>
      </c>
      <c r="AX23" s="14" t="str">
        <f t="shared" ca="1" si="6"/>
        <v/>
      </c>
      <c r="AY23" s="14" t="str">
        <f t="shared" ca="1" si="6"/>
        <v/>
      </c>
      <c r="AZ23" s="14" t="str">
        <f t="shared" ca="1" si="6"/>
        <v/>
      </c>
      <c r="BA23" s="14" t="str">
        <f t="shared" ca="1" si="6"/>
        <v/>
      </c>
      <c r="BB23" s="14" t="str">
        <f t="shared" ca="1" si="6"/>
        <v/>
      </c>
      <c r="BC23" s="14" t="str">
        <f t="shared" ca="1" si="6"/>
        <v/>
      </c>
      <c r="BD23" s="14" t="str">
        <f t="shared" ca="1" si="6"/>
        <v/>
      </c>
      <c r="BE23" s="14" t="str">
        <f t="shared" ca="1" si="7"/>
        <v/>
      </c>
      <c r="BF23" s="14" t="str">
        <f t="shared" ca="1" si="7"/>
        <v/>
      </c>
      <c r="BG23" s="14" t="str">
        <f t="shared" ca="1" si="7"/>
        <v/>
      </c>
      <c r="BH23" s="14" t="str">
        <f t="shared" ca="1" si="7"/>
        <v/>
      </c>
      <c r="BI23" s="14" t="str">
        <f t="shared" ca="1" si="7"/>
        <v/>
      </c>
      <c r="BJ23" s="14" t="str">
        <f t="shared" ca="1" si="7"/>
        <v/>
      </c>
      <c r="BK23" s="14" t="str">
        <f t="shared" ca="1" si="7"/>
        <v/>
      </c>
      <c r="BL23" s="14" t="str">
        <f t="shared" ca="1" si="7"/>
        <v/>
      </c>
    </row>
    <row r="24" spans="1:64" s="1" customFormat="1" ht="40.15" customHeight="1">
      <c r="A24" s="6"/>
      <c r="B24" s="21" t="s">
        <v>18</v>
      </c>
      <c r="C24" s="17" t="s">
        <v>30</v>
      </c>
      <c r="D24" s="17"/>
      <c r="E24" s="18"/>
      <c r="F24" s="19">
        <f ca="1">F12+15</f>
        <v>45584</v>
      </c>
      <c r="G24" s="20">
        <v>4</v>
      </c>
      <c r="H24" s="17"/>
      <c r="I24" s="14" t="str">
        <f t="shared" ca="1" si="8"/>
        <v/>
      </c>
      <c r="J24" s="14" t="str">
        <f t="shared" ca="1" si="4"/>
        <v/>
      </c>
      <c r="K24" s="14" t="str">
        <f t="shared" ca="1" si="4"/>
        <v/>
      </c>
      <c r="L24" s="14" t="str">
        <f t="shared" ca="1" si="4"/>
        <v/>
      </c>
      <c r="M24" s="14" t="str">
        <f t="shared" ca="1" si="4"/>
        <v/>
      </c>
      <c r="N24" s="14" t="str">
        <f t="shared" ca="1" si="4"/>
        <v/>
      </c>
      <c r="O24" s="14" t="str">
        <f t="shared" ca="1" si="4"/>
        <v/>
      </c>
      <c r="P24" s="14" t="str">
        <f t="shared" ca="1" si="4"/>
        <v/>
      </c>
      <c r="Q24" s="14" t="str">
        <f t="shared" ca="1" si="4"/>
        <v/>
      </c>
      <c r="R24" s="14" t="str">
        <f t="shared" ca="1" si="4"/>
        <v/>
      </c>
      <c r="S24" s="14" t="str">
        <f t="shared" ca="1" si="4"/>
        <v/>
      </c>
      <c r="T24" s="14" t="str">
        <f t="shared" ca="1" si="4"/>
        <v/>
      </c>
      <c r="U24" s="14" t="str">
        <f t="shared" ca="1" si="4"/>
        <v/>
      </c>
      <c r="V24" s="14" t="str">
        <f t="shared" ca="1" si="4"/>
        <v/>
      </c>
      <c r="W24" s="14" t="str">
        <f t="shared" ca="1" si="4"/>
        <v/>
      </c>
      <c r="X24" s="14" t="str">
        <f t="shared" ca="1" si="4"/>
        <v/>
      </c>
      <c r="Y24" s="14" t="str">
        <f t="shared" ca="1" si="5"/>
        <v/>
      </c>
      <c r="Z24" s="14" t="str">
        <f t="shared" ca="1" si="5"/>
        <v/>
      </c>
      <c r="AA24" s="14" t="str">
        <f t="shared" ca="1" si="5"/>
        <v/>
      </c>
      <c r="AB24" s="14" t="str">
        <f t="shared" ca="1" si="5"/>
        <v/>
      </c>
      <c r="AC24" s="14" t="str">
        <f t="shared" ca="1" si="5"/>
        <v/>
      </c>
      <c r="AD24" s="14" t="str">
        <f t="shared" ca="1" si="5"/>
        <v/>
      </c>
      <c r="AE24" s="14" t="str">
        <f t="shared" ca="1" si="5"/>
        <v/>
      </c>
      <c r="AF24" s="14" t="str">
        <f t="shared" ca="1" si="5"/>
        <v/>
      </c>
      <c r="AG24" s="14" t="str">
        <f t="shared" ca="1" si="5"/>
        <v/>
      </c>
      <c r="AH24" s="14" t="str">
        <f t="shared" ca="1" si="5"/>
        <v/>
      </c>
      <c r="AI24" s="14" t="str">
        <f t="shared" ca="1" si="5"/>
        <v/>
      </c>
      <c r="AJ24" s="14" t="str">
        <f t="shared" ca="1" si="5"/>
        <v/>
      </c>
      <c r="AK24" s="14" t="str">
        <f t="shared" ca="1" si="5"/>
        <v/>
      </c>
      <c r="AL24" s="14" t="str">
        <f t="shared" ca="1" si="5"/>
        <v/>
      </c>
      <c r="AM24" s="14" t="str">
        <f t="shared" ca="1" si="5"/>
        <v/>
      </c>
      <c r="AN24" s="14" t="str">
        <f t="shared" ca="1" si="5"/>
        <v/>
      </c>
      <c r="AO24" s="14" t="str">
        <f t="shared" ca="1" si="6"/>
        <v/>
      </c>
      <c r="AP24" s="14" t="str">
        <f t="shared" ca="1" si="6"/>
        <v/>
      </c>
      <c r="AQ24" s="14" t="str">
        <f t="shared" ca="1" si="6"/>
        <v/>
      </c>
      <c r="AR24" s="14" t="str">
        <f t="shared" ca="1" si="6"/>
        <v/>
      </c>
      <c r="AS24" s="14" t="str">
        <f t="shared" ca="1" si="6"/>
        <v/>
      </c>
      <c r="AT24" s="14" t="str">
        <f t="shared" ca="1" si="6"/>
        <v/>
      </c>
      <c r="AU24" s="14" t="str">
        <f t="shared" ca="1" si="6"/>
        <v/>
      </c>
      <c r="AV24" s="14" t="str">
        <f t="shared" ca="1" si="6"/>
        <v/>
      </c>
      <c r="AW24" s="14" t="str">
        <f t="shared" ca="1" si="6"/>
        <v/>
      </c>
      <c r="AX24" s="14" t="str">
        <f t="shared" ca="1" si="6"/>
        <v/>
      </c>
      <c r="AY24" s="14" t="str">
        <f t="shared" ca="1" si="6"/>
        <v/>
      </c>
      <c r="AZ24" s="14" t="str">
        <f t="shared" ca="1" si="6"/>
        <v/>
      </c>
      <c r="BA24" s="14" t="str">
        <f t="shared" ca="1" si="6"/>
        <v/>
      </c>
      <c r="BB24" s="14" t="str">
        <f t="shared" ca="1" si="6"/>
        <v/>
      </c>
      <c r="BC24" s="14" t="str">
        <f t="shared" ca="1" si="6"/>
        <v/>
      </c>
      <c r="BD24" s="14" t="str">
        <f t="shared" ca="1" si="6"/>
        <v/>
      </c>
      <c r="BE24" s="14" t="str">
        <f t="shared" ca="1" si="7"/>
        <v/>
      </c>
      <c r="BF24" s="14" t="str">
        <f t="shared" ca="1" si="7"/>
        <v/>
      </c>
      <c r="BG24" s="14" t="str">
        <f t="shared" ca="1" si="7"/>
        <v/>
      </c>
      <c r="BH24" s="14" t="str">
        <f t="shared" ca="1" si="7"/>
        <v/>
      </c>
      <c r="BI24" s="14" t="str">
        <f t="shared" ca="1" si="7"/>
        <v/>
      </c>
      <c r="BJ24" s="14" t="str">
        <f t="shared" ca="1" si="7"/>
        <v/>
      </c>
      <c r="BK24" s="14" t="str">
        <f t="shared" ca="1" si="7"/>
        <v/>
      </c>
      <c r="BL24" s="14" t="str">
        <f t="shared" ca="1" si="7"/>
        <v/>
      </c>
    </row>
    <row r="25" spans="1:64" s="1" customFormat="1" ht="40.15" customHeight="1">
      <c r="A25" s="6"/>
      <c r="B25" s="21" t="s">
        <v>21</v>
      </c>
      <c r="C25" s="17" t="s">
        <v>27</v>
      </c>
      <c r="D25" s="17"/>
      <c r="E25" s="18"/>
      <c r="F25" s="19">
        <f ca="1">F24+3</f>
        <v>45587</v>
      </c>
      <c r="G25" s="20">
        <v>14</v>
      </c>
      <c r="H25" s="17"/>
      <c r="I25" s="14" t="str">
        <f t="shared" ca="1" si="8"/>
        <v/>
      </c>
      <c r="J25" s="14" t="str">
        <f t="shared" ca="1" si="4"/>
        <v/>
      </c>
      <c r="K25" s="14" t="str">
        <f t="shared" ca="1" si="4"/>
        <v/>
      </c>
      <c r="L25" s="14" t="str">
        <f t="shared" ca="1" si="4"/>
        <v/>
      </c>
      <c r="M25" s="14" t="str">
        <f t="shared" ca="1" si="4"/>
        <v/>
      </c>
      <c r="N25" s="14" t="str">
        <f t="shared" ca="1" si="4"/>
        <v/>
      </c>
      <c r="O25" s="14" t="str">
        <f t="shared" ca="1" si="4"/>
        <v/>
      </c>
      <c r="P25" s="14" t="str">
        <f t="shared" ca="1" si="4"/>
        <v/>
      </c>
      <c r="Q25" s="14" t="str">
        <f t="shared" ca="1" si="4"/>
        <v/>
      </c>
      <c r="R25" s="14" t="str">
        <f t="shared" ca="1" si="4"/>
        <v/>
      </c>
      <c r="S25" s="14" t="str">
        <f t="shared" ca="1" si="4"/>
        <v/>
      </c>
      <c r="T25" s="14" t="str">
        <f t="shared" ca="1" si="4"/>
        <v/>
      </c>
      <c r="U25" s="14" t="str">
        <f t="shared" ca="1" si="4"/>
        <v/>
      </c>
      <c r="V25" s="14" t="str">
        <f t="shared" ca="1" si="4"/>
        <v/>
      </c>
      <c r="W25" s="14" t="str">
        <f t="shared" ca="1" si="4"/>
        <v/>
      </c>
      <c r="X25" s="14" t="str">
        <f t="shared" ca="1" si="4"/>
        <v/>
      </c>
      <c r="Y25" s="14" t="str">
        <f t="shared" ca="1" si="5"/>
        <v/>
      </c>
      <c r="Z25" s="14" t="str">
        <f t="shared" ca="1" si="5"/>
        <v/>
      </c>
      <c r="AA25" s="14" t="str">
        <f t="shared" ca="1" si="5"/>
        <v/>
      </c>
      <c r="AB25" s="14" t="str">
        <f t="shared" ca="1" si="5"/>
        <v/>
      </c>
      <c r="AC25" s="14" t="str">
        <f t="shared" ca="1" si="5"/>
        <v/>
      </c>
      <c r="AD25" s="14" t="str">
        <f t="shared" ca="1" si="5"/>
        <v/>
      </c>
      <c r="AE25" s="14" t="str">
        <f t="shared" ca="1" si="5"/>
        <v/>
      </c>
      <c r="AF25" s="14" t="str">
        <f t="shared" ca="1" si="5"/>
        <v/>
      </c>
      <c r="AG25" s="14" t="str">
        <f t="shared" ca="1" si="5"/>
        <v/>
      </c>
      <c r="AH25" s="14" t="str">
        <f t="shared" ca="1" si="5"/>
        <v/>
      </c>
      <c r="AI25" s="14" t="str">
        <f t="shared" ca="1" si="5"/>
        <v/>
      </c>
      <c r="AJ25" s="14" t="str">
        <f t="shared" ca="1" si="5"/>
        <v/>
      </c>
      <c r="AK25" s="14" t="str">
        <f t="shared" ca="1" si="5"/>
        <v/>
      </c>
      <c r="AL25" s="14" t="str">
        <f t="shared" ca="1" si="5"/>
        <v/>
      </c>
      <c r="AM25" s="14" t="str">
        <f t="shared" ca="1" si="5"/>
        <v/>
      </c>
      <c r="AN25" s="14" t="str">
        <f t="shared" ca="1" si="5"/>
        <v/>
      </c>
      <c r="AO25" s="14" t="str">
        <f t="shared" ca="1" si="6"/>
        <v/>
      </c>
      <c r="AP25" s="14" t="str">
        <f t="shared" ca="1" si="6"/>
        <v/>
      </c>
      <c r="AQ25" s="14" t="str">
        <f t="shared" ca="1" si="6"/>
        <v/>
      </c>
      <c r="AR25" s="14" t="str">
        <f t="shared" ca="1" si="6"/>
        <v/>
      </c>
      <c r="AS25" s="14" t="str">
        <f t="shared" ca="1" si="6"/>
        <v/>
      </c>
      <c r="AT25" s="14" t="str">
        <f t="shared" ca="1" si="6"/>
        <v/>
      </c>
      <c r="AU25" s="14" t="str">
        <f t="shared" ca="1" si="6"/>
        <v/>
      </c>
      <c r="AV25" s="14" t="str">
        <f t="shared" ca="1" si="6"/>
        <v/>
      </c>
      <c r="AW25" s="14" t="str">
        <f t="shared" ca="1" si="6"/>
        <v/>
      </c>
      <c r="AX25" s="14" t="str">
        <f t="shared" ca="1" si="6"/>
        <v/>
      </c>
      <c r="AY25" s="14" t="str">
        <f t="shared" ca="1" si="6"/>
        <v/>
      </c>
      <c r="AZ25" s="14" t="str">
        <f t="shared" ca="1" si="6"/>
        <v/>
      </c>
      <c r="BA25" s="14" t="str">
        <f t="shared" ca="1" si="6"/>
        <v/>
      </c>
      <c r="BB25" s="14" t="str">
        <f t="shared" ca="1" si="6"/>
        <v/>
      </c>
      <c r="BC25" s="14" t="str">
        <f t="shared" ca="1" si="6"/>
        <v/>
      </c>
      <c r="BD25" s="14" t="str">
        <f t="shared" ca="1" si="6"/>
        <v/>
      </c>
      <c r="BE25" s="14" t="str">
        <f t="shared" ca="1" si="7"/>
        <v/>
      </c>
      <c r="BF25" s="14" t="str">
        <f t="shared" ca="1" si="7"/>
        <v/>
      </c>
      <c r="BG25" s="14" t="str">
        <f t="shared" ca="1" si="7"/>
        <v/>
      </c>
      <c r="BH25" s="14" t="str">
        <f t="shared" ca="1" si="7"/>
        <v/>
      </c>
      <c r="BI25" s="14" t="str">
        <f t="shared" ca="1" si="7"/>
        <v/>
      </c>
      <c r="BJ25" s="14" t="str">
        <f t="shared" ca="1" si="7"/>
        <v/>
      </c>
      <c r="BK25" s="14" t="str">
        <f t="shared" ca="1" si="7"/>
        <v/>
      </c>
      <c r="BL25" s="14" t="str">
        <f t="shared" ca="1" si="7"/>
        <v/>
      </c>
    </row>
    <row r="26" spans="1:64" s="1" customFormat="1" ht="40.15" customHeight="1">
      <c r="A26" s="6"/>
      <c r="B26" s="21" t="s">
        <v>23</v>
      </c>
      <c r="C26" s="17" t="s">
        <v>30</v>
      </c>
      <c r="D26" s="17"/>
      <c r="E26" s="18"/>
      <c r="F26" s="19">
        <f ca="1">F25+15</f>
        <v>45602</v>
      </c>
      <c r="G26" s="20">
        <v>6</v>
      </c>
      <c r="H26" s="17"/>
      <c r="I26" s="14" t="str">
        <f t="shared" ca="1" si="8"/>
        <v/>
      </c>
      <c r="J26" s="14" t="str">
        <f t="shared" ca="1" si="4"/>
        <v/>
      </c>
      <c r="K26" s="14" t="str">
        <f t="shared" ca="1" si="4"/>
        <v/>
      </c>
      <c r="L26" s="14" t="str">
        <f t="shared" ca="1" si="4"/>
        <v/>
      </c>
      <c r="M26" s="14" t="str">
        <f t="shared" ca="1" si="4"/>
        <v/>
      </c>
      <c r="N26" s="14" t="str">
        <f t="shared" ca="1" si="4"/>
        <v/>
      </c>
      <c r="O26" s="14" t="str">
        <f t="shared" ca="1" si="4"/>
        <v/>
      </c>
      <c r="P26" s="14" t="str">
        <f t="shared" ca="1" si="4"/>
        <v/>
      </c>
      <c r="Q26" s="14" t="str">
        <f t="shared" ca="1" si="4"/>
        <v/>
      </c>
      <c r="R26" s="14" t="str">
        <f t="shared" ca="1" si="4"/>
        <v/>
      </c>
      <c r="S26" s="14" t="str">
        <f t="shared" ca="1" si="4"/>
        <v/>
      </c>
      <c r="T26" s="14" t="str">
        <f t="shared" ca="1" si="4"/>
        <v/>
      </c>
      <c r="U26" s="14" t="str">
        <f t="shared" ca="1" si="4"/>
        <v/>
      </c>
      <c r="V26" s="14" t="str">
        <f t="shared" ca="1" si="4"/>
        <v/>
      </c>
      <c r="W26" s="14" t="str">
        <f t="shared" ca="1" si="4"/>
        <v/>
      </c>
      <c r="X26" s="14" t="str">
        <f t="shared" ca="1" si="4"/>
        <v/>
      </c>
      <c r="Y26" s="14" t="str">
        <f t="shared" ca="1" si="5"/>
        <v/>
      </c>
      <c r="Z26" s="14" t="str">
        <f t="shared" ca="1" si="5"/>
        <v/>
      </c>
      <c r="AA26" s="14" t="str">
        <f t="shared" ca="1" si="5"/>
        <v/>
      </c>
      <c r="AB26" s="14" t="str">
        <f t="shared" ca="1" si="5"/>
        <v/>
      </c>
      <c r="AC26" s="14" t="str">
        <f t="shared" ca="1" si="5"/>
        <v/>
      </c>
      <c r="AD26" s="14" t="str">
        <f t="shared" ca="1" si="5"/>
        <v/>
      </c>
      <c r="AE26" s="14" t="str">
        <f t="shared" ca="1" si="5"/>
        <v/>
      </c>
      <c r="AF26" s="14" t="str">
        <f t="shared" ca="1" si="5"/>
        <v/>
      </c>
      <c r="AG26" s="14" t="str">
        <f t="shared" ca="1" si="5"/>
        <v/>
      </c>
      <c r="AH26" s="14" t="str">
        <f t="shared" ca="1" si="5"/>
        <v/>
      </c>
      <c r="AI26" s="14" t="str">
        <f t="shared" ca="1" si="5"/>
        <v/>
      </c>
      <c r="AJ26" s="14" t="str">
        <f t="shared" ca="1" si="5"/>
        <v/>
      </c>
      <c r="AK26" s="14" t="str">
        <f t="shared" ca="1" si="5"/>
        <v/>
      </c>
      <c r="AL26" s="14" t="str">
        <f t="shared" ca="1" si="5"/>
        <v/>
      </c>
      <c r="AM26" s="14" t="str">
        <f t="shared" ca="1" si="5"/>
        <v/>
      </c>
      <c r="AN26" s="14" t="str">
        <f t="shared" ref="AN26:BC35" ca="1" si="9">IF(AND($C26="Goal",AN$7&gt;=$F26,AN$7&lt;=$F26+$G26-1),2,IF(AND($C26="Milestone",AN$7&gt;=$F26,AN$7&lt;=$F26+$G26-1),1,""))</f>
        <v/>
      </c>
      <c r="AO26" s="14" t="str">
        <f t="shared" ca="1" si="6"/>
        <v/>
      </c>
      <c r="AP26" s="14" t="str">
        <f t="shared" ca="1" si="6"/>
        <v/>
      </c>
      <c r="AQ26" s="14" t="str">
        <f t="shared" ca="1" si="6"/>
        <v/>
      </c>
      <c r="AR26" s="14" t="str">
        <f t="shared" ca="1" si="6"/>
        <v/>
      </c>
      <c r="AS26" s="14" t="str">
        <f t="shared" ca="1" si="6"/>
        <v/>
      </c>
      <c r="AT26" s="14" t="str">
        <f t="shared" ca="1" si="6"/>
        <v/>
      </c>
      <c r="AU26" s="14" t="str">
        <f t="shared" ca="1" si="6"/>
        <v/>
      </c>
      <c r="AV26" s="14" t="str">
        <f t="shared" ca="1" si="6"/>
        <v/>
      </c>
      <c r="AW26" s="14" t="str">
        <f t="shared" ca="1" si="6"/>
        <v/>
      </c>
      <c r="AX26" s="14" t="str">
        <f t="shared" ca="1" si="6"/>
        <v/>
      </c>
      <c r="AY26" s="14" t="str">
        <f t="shared" ca="1" si="6"/>
        <v/>
      </c>
      <c r="AZ26" s="14" t="str">
        <f t="shared" ca="1" si="6"/>
        <v/>
      </c>
      <c r="BA26" s="14" t="str">
        <f t="shared" ca="1" si="6"/>
        <v/>
      </c>
      <c r="BB26" s="14" t="str">
        <f t="shared" ca="1" si="6"/>
        <v/>
      </c>
      <c r="BC26" s="14" t="str">
        <f t="shared" ca="1" si="6"/>
        <v/>
      </c>
      <c r="BD26" s="14" t="str">
        <f t="shared" ref="BD26:BL35" ca="1" si="10">IF(AND($C26="Goal",BD$7&gt;=$F26,BD$7&lt;=$F26+$G26-1),2,IF(AND($C26="Milestone",BD$7&gt;=$F26,BD$7&lt;=$F26+$G26-1),1,""))</f>
        <v/>
      </c>
      <c r="BE26" s="14" t="str">
        <f t="shared" ca="1" si="7"/>
        <v/>
      </c>
      <c r="BF26" s="14" t="str">
        <f t="shared" ca="1" si="7"/>
        <v/>
      </c>
      <c r="BG26" s="14" t="str">
        <f t="shared" ca="1" si="7"/>
        <v/>
      </c>
      <c r="BH26" s="14" t="str">
        <f t="shared" ca="1" si="7"/>
        <v/>
      </c>
      <c r="BI26" s="14" t="str">
        <f t="shared" ca="1" si="7"/>
        <v/>
      </c>
      <c r="BJ26" s="14" t="str">
        <f t="shared" ca="1" si="7"/>
        <v/>
      </c>
      <c r="BK26" s="14" t="str">
        <f t="shared" ca="1" si="7"/>
        <v/>
      </c>
      <c r="BL26" s="14" t="str">
        <f t="shared" ca="1" si="7"/>
        <v/>
      </c>
    </row>
    <row r="27" spans="1:64" s="1" customFormat="1" ht="40.15" customHeight="1">
      <c r="A27" s="6"/>
      <c r="B27" s="21" t="s">
        <v>25</v>
      </c>
      <c r="C27" s="17" t="s">
        <v>19</v>
      </c>
      <c r="D27" s="17"/>
      <c r="E27" s="18"/>
      <c r="F27" s="19">
        <f ca="1">F21+22</f>
        <v>45606</v>
      </c>
      <c r="G27" s="20">
        <v>3</v>
      </c>
      <c r="H27" s="17"/>
      <c r="I27" s="14" t="str">
        <f t="shared" ca="1" si="8"/>
        <v/>
      </c>
      <c r="J27" s="14" t="str">
        <f t="shared" ca="1" si="8"/>
        <v/>
      </c>
      <c r="K27" s="14" t="str">
        <f t="shared" ca="1" si="8"/>
        <v/>
      </c>
      <c r="L27" s="14" t="str">
        <f t="shared" ca="1" si="8"/>
        <v/>
      </c>
      <c r="M27" s="14" t="str">
        <f t="shared" ca="1" si="8"/>
        <v/>
      </c>
      <c r="N27" s="14" t="str">
        <f t="shared" ca="1" si="8"/>
        <v/>
      </c>
      <c r="O27" s="14" t="str">
        <f t="shared" ca="1" si="8"/>
        <v/>
      </c>
      <c r="P27" s="14" t="str">
        <f t="shared" ca="1" si="8"/>
        <v/>
      </c>
      <c r="Q27" s="14" t="str">
        <f t="shared" ca="1" si="8"/>
        <v/>
      </c>
      <c r="R27" s="14" t="str">
        <f t="shared" ca="1" si="8"/>
        <v/>
      </c>
      <c r="S27" s="14" t="str">
        <f t="shared" ca="1" si="8"/>
        <v/>
      </c>
      <c r="T27" s="14" t="str">
        <f t="shared" ca="1" si="8"/>
        <v/>
      </c>
      <c r="U27" s="14" t="str">
        <f t="shared" ca="1" si="8"/>
        <v/>
      </c>
      <c r="V27" s="14" t="str">
        <f t="shared" ca="1" si="8"/>
        <v/>
      </c>
      <c r="W27" s="14" t="str">
        <f t="shared" ca="1" si="8"/>
        <v/>
      </c>
      <c r="X27" s="14" t="str">
        <f t="shared" ca="1" si="8"/>
        <v/>
      </c>
      <c r="Y27" s="14" t="str">
        <f t="shared" ref="Y27:AM35" ca="1" si="11">IF(AND($C27="Goal",Y$7&gt;=$F27,Y$7&lt;=$F27+$G27-1),2,IF(AND($C27="Milestone",Y$7&gt;=$F27,Y$7&lt;=$F27+$G27-1),1,""))</f>
        <v/>
      </c>
      <c r="Z27" s="14" t="str">
        <f t="shared" ca="1" si="11"/>
        <v/>
      </c>
      <c r="AA27" s="14" t="str">
        <f t="shared" ca="1" si="11"/>
        <v/>
      </c>
      <c r="AB27" s="14" t="str">
        <f t="shared" ca="1" si="11"/>
        <v/>
      </c>
      <c r="AC27" s="14" t="str">
        <f t="shared" ca="1" si="11"/>
        <v/>
      </c>
      <c r="AD27" s="14" t="str">
        <f t="shared" ca="1" si="11"/>
        <v/>
      </c>
      <c r="AE27" s="14" t="str">
        <f t="shared" ca="1" si="11"/>
        <v/>
      </c>
      <c r="AF27" s="14" t="str">
        <f t="shared" ca="1" si="11"/>
        <v/>
      </c>
      <c r="AG27" s="14" t="str">
        <f t="shared" ca="1" si="11"/>
        <v/>
      </c>
      <c r="AH27" s="14" t="str">
        <f t="shared" ca="1" si="11"/>
        <v/>
      </c>
      <c r="AI27" s="14" t="str">
        <f t="shared" ca="1" si="11"/>
        <v/>
      </c>
      <c r="AJ27" s="14" t="str">
        <f t="shared" ca="1" si="11"/>
        <v/>
      </c>
      <c r="AK27" s="14" t="str">
        <f t="shared" ca="1" si="11"/>
        <v/>
      </c>
      <c r="AL27" s="14" t="str">
        <f t="shared" ca="1" si="11"/>
        <v/>
      </c>
      <c r="AM27" s="14" t="str">
        <f t="shared" ca="1" si="11"/>
        <v/>
      </c>
      <c r="AN27" s="14" t="str">
        <f t="shared" ca="1" si="9"/>
        <v/>
      </c>
      <c r="AO27" s="14">
        <f t="shared" ca="1" si="9"/>
        <v>2</v>
      </c>
      <c r="AP27" s="14">
        <f t="shared" ca="1" si="9"/>
        <v>2</v>
      </c>
      <c r="AQ27" s="14">
        <f t="shared" ca="1" si="9"/>
        <v>2</v>
      </c>
      <c r="AR27" s="14" t="str">
        <f t="shared" ca="1" si="9"/>
        <v/>
      </c>
      <c r="AS27" s="14" t="str">
        <f t="shared" ca="1" si="9"/>
        <v/>
      </c>
      <c r="AT27" s="14" t="str">
        <f t="shared" ca="1" si="9"/>
        <v/>
      </c>
      <c r="AU27" s="14" t="str">
        <f t="shared" ca="1" si="9"/>
        <v/>
      </c>
      <c r="AV27" s="14" t="str">
        <f t="shared" ca="1" si="9"/>
        <v/>
      </c>
      <c r="AW27" s="14" t="str">
        <f t="shared" ca="1" si="9"/>
        <v/>
      </c>
      <c r="AX27" s="14" t="str">
        <f t="shared" ca="1" si="9"/>
        <v/>
      </c>
      <c r="AY27" s="14" t="str">
        <f t="shared" ca="1" si="9"/>
        <v/>
      </c>
      <c r="AZ27" s="14" t="str">
        <f t="shared" ca="1" si="9"/>
        <v/>
      </c>
      <c r="BA27" s="14" t="str">
        <f t="shared" ca="1" si="9"/>
        <v/>
      </c>
      <c r="BB27" s="14" t="str">
        <f t="shared" ca="1" si="9"/>
        <v/>
      </c>
      <c r="BC27" s="14" t="str">
        <f t="shared" ca="1" si="9"/>
        <v/>
      </c>
      <c r="BD27" s="14" t="str">
        <f t="shared" ca="1" si="10"/>
        <v/>
      </c>
      <c r="BE27" s="14" t="str">
        <f t="shared" ca="1" si="10"/>
        <v/>
      </c>
      <c r="BF27" s="14" t="str">
        <f t="shared" ca="1" si="10"/>
        <v/>
      </c>
      <c r="BG27" s="14" t="str">
        <f t="shared" ca="1" si="10"/>
        <v/>
      </c>
      <c r="BH27" s="14" t="str">
        <f t="shared" ca="1" si="10"/>
        <v/>
      </c>
      <c r="BI27" s="14" t="str">
        <f t="shared" ca="1" si="10"/>
        <v/>
      </c>
      <c r="BJ27" s="14" t="str">
        <f t="shared" ca="1" si="10"/>
        <v/>
      </c>
      <c r="BK27" s="14" t="str">
        <f t="shared" ca="1" si="10"/>
        <v/>
      </c>
      <c r="BL27" s="14" t="str">
        <f t="shared" ca="1" si="10"/>
        <v/>
      </c>
    </row>
    <row r="28" spans="1:64" s="1" customFormat="1" ht="40.15" customHeight="1">
      <c r="A28" s="6"/>
      <c r="B28" s="21" t="s">
        <v>26</v>
      </c>
      <c r="C28" s="17" t="s">
        <v>24</v>
      </c>
      <c r="D28" s="17"/>
      <c r="E28" s="18"/>
      <c r="F28" s="19">
        <f ca="1">F16</f>
        <v>45575</v>
      </c>
      <c r="G28" s="20">
        <v>19</v>
      </c>
      <c r="H28" s="17"/>
      <c r="I28" s="14" t="str">
        <f t="shared" ca="1" si="8"/>
        <v/>
      </c>
      <c r="J28" s="14" t="str">
        <f t="shared" ca="1" si="8"/>
        <v/>
      </c>
      <c r="K28" s="14" t="str">
        <f t="shared" ca="1" si="8"/>
        <v/>
      </c>
      <c r="L28" s="14" t="str">
        <f t="shared" ca="1" si="8"/>
        <v/>
      </c>
      <c r="M28" s="14" t="str">
        <f t="shared" ca="1" si="8"/>
        <v/>
      </c>
      <c r="N28" s="14" t="str">
        <f t="shared" ca="1" si="8"/>
        <v/>
      </c>
      <c r="O28" s="14" t="str">
        <f t="shared" ca="1" si="8"/>
        <v/>
      </c>
      <c r="P28" s="14" t="str">
        <f t="shared" ca="1" si="8"/>
        <v/>
      </c>
      <c r="Q28" s="14" t="str">
        <f t="shared" ca="1" si="8"/>
        <v/>
      </c>
      <c r="R28" s="14" t="str">
        <f t="shared" ca="1" si="8"/>
        <v/>
      </c>
      <c r="S28" s="14" t="str">
        <f t="shared" ca="1" si="8"/>
        <v/>
      </c>
      <c r="T28" s="14" t="str">
        <f t="shared" ca="1" si="8"/>
        <v/>
      </c>
      <c r="U28" s="14" t="str">
        <f t="shared" ca="1" si="8"/>
        <v/>
      </c>
      <c r="V28" s="14" t="str">
        <f t="shared" ca="1" si="8"/>
        <v/>
      </c>
      <c r="W28" s="14" t="str">
        <f t="shared" ca="1" si="8"/>
        <v/>
      </c>
      <c r="X28" s="14" t="str">
        <f t="shared" ca="1" si="8"/>
        <v/>
      </c>
      <c r="Y28" s="14" t="str">
        <f t="shared" ca="1" si="11"/>
        <v/>
      </c>
      <c r="Z28" s="14" t="str">
        <f t="shared" ca="1" si="11"/>
        <v/>
      </c>
      <c r="AA28" s="14" t="str">
        <f t="shared" ca="1" si="11"/>
        <v/>
      </c>
      <c r="AB28" s="14" t="str">
        <f t="shared" ca="1" si="11"/>
        <v/>
      </c>
      <c r="AC28" s="14" t="str">
        <f t="shared" ca="1" si="11"/>
        <v/>
      </c>
      <c r="AD28" s="14" t="str">
        <f t="shared" ca="1" si="11"/>
        <v/>
      </c>
      <c r="AE28" s="14" t="str">
        <f t="shared" ca="1" si="11"/>
        <v/>
      </c>
      <c r="AF28" s="14" t="str">
        <f t="shared" ca="1" si="11"/>
        <v/>
      </c>
      <c r="AG28" s="14" t="str">
        <f t="shared" ca="1" si="11"/>
        <v/>
      </c>
      <c r="AH28" s="14" t="str">
        <f t="shared" ca="1" si="11"/>
        <v/>
      </c>
      <c r="AI28" s="14" t="str">
        <f t="shared" ca="1" si="11"/>
        <v/>
      </c>
      <c r="AJ28" s="14" t="str">
        <f t="shared" ca="1" si="11"/>
        <v/>
      </c>
      <c r="AK28" s="14" t="str">
        <f t="shared" ca="1" si="11"/>
        <v/>
      </c>
      <c r="AL28" s="14" t="str">
        <f t="shared" ca="1" si="11"/>
        <v/>
      </c>
      <c r="AM28" s="14" t="str">
        <f t="shared" ca="1" si="11"/>
        <v/>
      </c>
      <c r="AN28" s="14" t="str">
        <f t="shared" ca="1" si="9"/>
        <v/>
      </c>
      <c r="AO28" s="14" t="str">
        <f t="shared" ca="1" si="9"/>
        <v/>
      </c>
      <c r="AP28" s="14" t="str">
        <f t="shared" ca="1" si="9"/>
        <v/>
      </c>
      <c r="AQ28" s="14" t="str">
        <f t="shared" ca="1" si="9"/>
        <v/>
      </c>
      <c r="AR28" s="14" t="str">
        <f t="shared" ca="1" si="9"/>
        <v/>
      </c>
      <c r="AS28" s="14" t="str">
        <f t="shared" ca="1" si="9"/>
        <v/>
      </c>
      <c r="AT28" s="14" t="str">
        <f t="shared" ca="1" si="9"/>
        <v/>
      </c>
      <c r="AU28" s="14" t="str">
        <f t="shared" ca="1" si="9"/>
        <v/>
      </c>
      <c r="AV28" s="14" t="str">
        <f t="shared" ca="1" si="9"/>
        <v/>
      </c>
      <c r="AW28" s="14" t="str">
        <f t="shared" ca="1" si="9"/>
        <v/>
      </c>
      <c r="AX28" s="14" t="str">
        <f t="shared" ca="1" si="9"/>
        <v/>
      </c>
      <c r="AY28" s="14" t="str">
        <f t="shared" ca="1" si="9"/>
        <v/>
      </c>
      <c r="AZ28" s="14" t="str">
        <f t="shared" ca="1" si="9"/>
        <v/>
      </c>
      <c r="BA28" s="14" t="str">
        <f t="shared" ca="1" si="9"/>
        <v/>
      </c>
      <c r="BB28" s="14" t="str">
        <f t="shared" ca="1" si="9"/>
        <v/>
      </c>
      <c r="BC28" s="14" t="str">
        <f t="shared" ca="1" si="9"/>
        <v/>
      </c>
      <c r="BD28" s="14" t="str">
        <f t="shared" ca="1" si="10"/>
        <v/>
      </c>
      <c r="BE28" s="14" t="str">
        <f t="shared" ca="1" si="10"/>
        <v/>
      </c>
      <c r="BF28" s="14" t="str">
        <f t="shared" ca="1" si="10"/>
        <v/>
      </c>
      <c r="BG28" s="14" t="str">
        <f t="shared" ca="1" si="10"/>
        <v/>
      </c>
      <c r="BH28" s="14" t="str">
        <f t="shared" ca="1" si="10"/>
        <v/>
      </c>
      <c r="BI28" s="14" t="str">
        <f t="shared" ca="1" si="10"/>
        <v/>
      </c>
      <c r="BJ28" s="14" t="str">
        <f t="shared" ca="1" si="10"/>
        <v/>
      </c>
      <c r="BK28" s="14" t="str">
        <f t="shared" ca="1" si="10"/>
        <v/>
      </c>
      <c r="BL28" s="14" t="str">
        <f t="shared" ca="1" si="10"/>
        <v/>
      </c>
    </row>
    <row r="29" spans="1:64" s="1" customFormat="1" ht="40.15" customHeight="1">
      <c r="A29" s="6"/>
      <c r="B29" s="58" t="s">
        <v>32</v>
      </c>
      <c r="C29" s="17"/>
      <c r="D29" s="17"/>
      <c r="E29" s="18"/>
      <c r="F29" s="19"/>
      <c r="G29" s="20"/>
      <c r="H29" s="17"/>
      <c r="I29" s="14" t="str">
        <f t="shared" ref="I29:X35" ca="1" si="12">IF(AND($C29="Goal",I$7&gt;=$F29,I$7&lt;=$F29+$G29-1),2,IF(AND($C29="Milestone",I$7&gt;=$F29,I$7&lt;=$F29+$G29-1),1,""))</f>
        <v/>
      </c>
      <c r="J29" s="14" t="str">
        <f t="shared" ca="1" si="12"/>
        <v/>
      </c>
      <c r="K29" s="14" t="str">
        <f t="shared" ca="1" si="12"/>
        <v/>
      </c>
      <c r="L29" s="14" t="str">
        <f t="shared" ca="1" si="12"/>
        <v/>
      </c>
      <c r="M29" s="14" t="str">
        <f t="shared" ca="1" si="12"/>
        <v/>
      </c>
      <c r="N29" s="14" t="str">
        <f t="shared" ca="1" si="12"/>
        <v/>
      </c>
      <c r="O29" s="14" t="str">
        <f t="shared" ca="1" si="12"/>
        <v/>
      </c>
      <c r="P29" s="14" t="str">
        <f t="shared" ca="1" si="12"/>
        <v/>
      </c>
      <c r="Q29" s="14" t="str">
        <f t="shared" ca="1" si="12"/>
        <v/>
      </c>
      <c r="R29" s="14" t="str">
        <f t="shared" ca="1" si="12"/>
        <v/>
      </c>
      <c r="S29" s="14" t="str">
        <f t="shared" ca="1" si="12"/>
        <v/>
      </c>
      <c r="T29" s="14" t="str">
        <f t="shared" ca="1" si="12"/>
        <v/>
      </c>
      <c r="U29" s="14" t="str">
        <f t="shared" ca="1" si="12"/>
        <v/>
      </c>
      <c r="V29" s="14" t="str">
        <f t="shared" ca="1" si="12"/>
        <v/>
      </c>
      <c r="W29" s="14" t="str">
        <f t="shared" ca="1" si="12"/>
        <v/>
      </c>
      <c r="X29" s="14" t="str">
        <f t="shared" ca="1" si="12"/>
        <v/>
      </c>
      <c r="Y29" s="14" t="str">
        <f t="shared" ca="1" si="11"/>
        <v/>
      </c>
      <c r="Z29" s="14" t="str">
        <f t="shared" ca="1" si="11"/>
        <v/>
      </c>
      <c r="AA29" s="14" t="str">
        <f t="shared" ca="1" si="11"/>
        <v/>
      </c>
      <c r="AB29" s="14" t="str">
        <f t="shared" ca="1" si="11"/>
        <v/>
      </c>
      <c r="AC29" s="14" t="str">
        <f t="shared" ca="1" si="11"/>
        <v/>
      </c>
      <c r="AD29" s="14" t="str">
        <f t="shared" ca="1" si="11"/>
        <v/>
      </c>
      <c r="AE29" s="14" t="str">
        <f t="shared" ca="1" si="11"/>
        <v/>
      </c>
      <c r="AF29" s="14" t="str">
        <f t="shared" ca="1" si="11"/>
        <v/>
      </c>
      <c r="AG29" s="14" t="str">
        <f t="shared" ca="1" si="11"/>
        <v/>
      </c>
      <c r="AH29" s="14" t="str">
        <f t="shared" ca="1" si="11"/>
        <v/>
      </c>
      <c r="AI29" s="14" t="str">
        <f t="shared" ca="1" si="11"/>
        <v/>
      </c>
      <c r="AJ29" s="14" t="str">
        <f t="shared" ca="1" si="11"/>
        <v/>
      </c>
      <c r="AK29" s="14" t="str">
        <f t="shared" ca="1" si="11"/>
        <v/>
      </c>
      <c r="AL29" s="14" t="str">
        <f t="shared" ca="1" si="11"/>
        <v/>
      </c>
      <c r="AM29" s="14" t="str">
        <f t="shared" ca="1" si="11"/>
        <v/>
      </c>
      <c r="AN29" s="14" t="str">
        <f t="shared" ca="1" si="9"/>
        <v/>
      </c>
      <c r="AO29" s="14" t="str">
        <f t="shared" ca="1" si="9"/>
        <v/>
      </c>
      <c r="AP29" s="14" t="str">
        <f t="shared" ca="1" si="9"/>
        <v/>
      </c>
      <c r="AQ29" s="14" t="str">
        <f t="shared" ca="1" si="9"/>
        <v/>
      </c>
      <c r="AR29" s="14" t="str">
        <f t="shared" ca="1" si="9"/>
        <v/>
      </c>
      <c r="AS29" s="14" t="str">
        <f t="shared" ca="1" si="9"/>
        <v/>
      </c>
      <c r="AT29" s="14" t="str">
        <f t="shared" ca="1" si="9"/>
        <v/>
      </c>
      <c r="AU29" s="14" t="str">
        <f t="shared" ca="1" si="9"/>
        <v/>
      </c>
      <c r="AV29" s="14" t="str">
        <f t="shared" ca="1" si="9"/>
        <v/>
      </c>
      <c r="AW29" s="14" t="str">
        <f t="shared" ca="1" si="9"/>
        <v/>
      </c>
      <c r="AX29" s="14" t="str">
        <f t="shared" ca="1" si="9"/>
        <v/>
      </c>
      <c r="AY29" s="14" t="str">
        <f t="shared" ca="1" si="9"/>
        <v/>
      </c>
      <c r="AZ29" s="14" t="str">
        <f t="shared" ca="1" si="9"/>
        <v/>
      </c>
      <c r="BA29" s="14" t="str">
        <f t="shared" ca="1" si="9"/>
        <v/>
      </c>
      <c r="BB29" s="14" t="str">
        <f t="shared" ca="1" si="9"/>
        <v/>
      </c>
      <c r="BC29" s="14" t="str">
        <f t="shared" ca="1" si="9"/>
        <v/>
      </c>
      <c r="BD29" s="14" t="str">
        <f t="shared" ca="1" si="10"/>
        <v/>
      </c>
      <c r="BE29" s="14" t="str">
        <f t="shared" ca="1" si="10"/>
        <v/>
      </c>
      <c r="BF29" s="14" t="str">
        <f t="shared" ca="1" si="10"/>
        <v/>
      </c>
      <c r="BG29" s="14" t="str">
        <f t="shared" ca="1" si="10"/>
        <v/>
      </c>
      <c r="BH29" s="14" t="str">
        <f t="shared" ca="1" si="10"/>
        <v/>
      </c>
      <c r="BI29" s="14" t="str">
        <f t="shared" ca="1" si="10"/>
        <v/>
      </c>
      <c r="BJ29" s="14" t="str">
        <f t="shared" ca="1" si="10"/>
        <v/>
      </c>
      <c r="BK29" s="14" t="str">
        <f t="shared" ca="1" si="10"/>
        <v/>
      </c>
      <c r="BL29" s="14" t="str">
        <f t="shared" ca="1" si="10"/>
        <v/>
      </c>
    </row>
    <row r="30" spans="1:64" s="1" customFormat="1" ht="40.15" customHeight="1">
      <c r="A30" s="6"/>
      <c r="B30" s="21" t="s">
        <v>18</v>
      </c>
      <c r="C30" s="17"/>
      <c r="D30" s="17"/>
      <c r="E30" s="18"/>
      <c r="F30" s="19">
        <f ca="1">F27+3</f>
        <v>45609</v>
      </c>
      <c r="G30" s="20">
        <v>15</v>
      </c>
      <c r="H30" s="17"/>
      <c r="I30" s="14" t="str">
        <f t="shared" ca="1" si="12"/>
        <v/>
      </c>
      <c r="J30" s="14" t="str">
        <f t="shared" ca="1" si="12"/>
        <v/>
      </c>
      <c r="K30" s="14" t="str">
        <f t="shared" ca="1" si="12"/>
        <v/>
      </c>
      <c r="L30" s="14" t="str">
        <f t="shared" ca="1" si="12"/>
        <v/>
      </c>
      <c r="M30" s="14" t="str">
        <f t="shared" ca="1" si="12"/>
        <v/>
      </c>
      <c r="N30" s="14" t="str">
        <f t="shared" ca="1" si="12"/>
        <v/>
      </c>
      <c r="O30" s="14" t="str">
        <f t="shared" ca="1" si="12"/>
        <v/>
      </c>
      <c r="P30" s="14" t="str">
        <f t="shared" ca="1" si="12"/>
        <v/>
      </c>
      <c r="Q30" s="14" t="str">
        <f t="shared" ca="1" si="12"/>
        <v/>
      </c>
      <c r="R30" s="14" t="str">
        <f t="shared" ca="1" si="12"/>
        <v/>
      </c>
      <c r="S30" s="14" t="str">
        <f t="shared" ca="1" si="12"/>
        <v/>
      </c>
      <c r="T30" s="14" t="str">
        <f t="shared" ca="1" si="12"/>
        <v/>
      </c>
      <c r="U30" s="14" t="str">
        <f t="shared" ca="1" si="12"/>
        <v/>
      </c>
      <c r="V30" s="14" t="str">
        <f t="shared" ca="1" si="12"/>
        <v/>
      </c>
      <c r="W30" s="14" t="str">
        <f t="shared" ca="1" si="12"/>
        <v/>
      </c>
      <c r="X30" s="14" t="str">
        <f t="shared" ca="1" si="12"/>
        <v/>
      </c>
      <c r="Y30" s="14" t="str">
        <f t="shared" ca="1" si="11"/>
        <v/>
      </c>
      <c r="Z30" s="14" t="str">
        <f t="shared" ca="1" si="11"/>
        <v/>
      </c>
      <c r="AA30" s="14" t="str">
        <f t="shared" ca="1" si="11"/>
        <v/>
      </c>
      <c r="AB30" s="14" t="str">
        <f t="shared" ca="1" si="11"/>
        <v/>
      </c>
      <c r="AC30" s="14" t="str">
        <f t="shared" ca="1" si="11"/>
        <v/>
      </c>
      <c r="AD30" s="14" t="str">
        <f t="shared" ca="1" si="11"/>
        <v/>
      </c>
      <c r="AE30" s="14" t="str">
        <f t="shared" ca="1" si="11"/>
        <v/>
      </c>
      <c r="AF30" s="14" t="str">
        <f t="shared" ca="1" si="11"/>
        <v/>
      </c>
      <c r="AG30" s="14" t="str">
        <f t="shared" ca="1" si="11"/>
        <v/>
      </c>
      <c r="AH30" s="14" t="str">
        <f t="shared" ca="1" si="11"/>
        <v/>
      </c>
      <c r="AI30" s="14" t="str">
        <f t="shared" ca="1" si="11"/>
        <v/>
      </c>
      <c r="AJ30" s="14" t="str">
        <f t="shared" ca="1" si="11"/>
        <v/>
      </c>
      <c r="AK30" s="14" t="str">
        <f t="shared" ca="1" si="11"/>
        <v/>
      </c>
      <c r="AL30" s="14" t="str">
        <f t="shared" ca="1" si="11"/>
        <v/>
      </c>
      <c r="AM30" s="14" t="str">
        <f t="shared" ca="1" si="11"/>
        <v/>
      </c>
      <c r="AN30" s="14" t="str">
        <f t="shared" ca="1" si="9"/>
        <v/>
      </c>
      <c r="AO30" s="14" t="str">
        <f t="shared" ca="1" si="9"/>
        <v/>
      </c>
      <c r="AP30" s="14" t="str">
        <f t="shared" ca="1" si="9"/>
        <v/>
      </c>
      <c r="AQ30" s="14" t="str">
        <f t="shared" ca="1" si="9"/>
        <v/>
      </c>
      <c r="AR30" s="14" t="str">
        <f t="shared" ca="1" si="9"/>
        <v/>
      </c>
      <c r="AS30" s="14" t="str">
        <f t="shared" ca="1" si="9"/>
        <v/>
      </c>
      <c r="AT30" s="14" t="str">
        <f t="shared" ca="1" si="9"/>
        <v/>
      </c>
      <c r="AU30" s="14" t="str">
        <f t="shared" ca="1" si="9"/>
        <v/>
      </c>
      <c r="AV30" s="14" t="str">
        <f t="shared" ca="1" si="9"/>
        <v/>
      </c>
      <c r="AW30" s="14" t="str">
        <f t="shared" ca="1" si="9"/>
        <v/>
      </c>
      <c r="AX30" s="14" t="str">
        <f t="shared" ca="1" si="9"/>
        <v/>
      </c>
      <c r="AY30" s="14" t="str">
        <f t="shared" ca="1" si="9"/>
        <v/>
      </c>
      <c r="AZ30" s="14" t="str">
        <f t="shared" ca="1" si="9"/>
        <v/>
      </c>
      <c r="BA30" s="14" t="str">
        <f t="shared" ca="1" si="9"/>
        <v/>
      </c>
      <c r="BB30" s="14" t="str">
        <f t="shared" ca="1" si="9"/>
        <v/>
      </c>
      <c r="BC30" s="14" t="str">
        <f t="shared" ca="1" si="9"/>
        <v/>
      </c>
      <c r="BD30" s="14" t="str">
        <f t="shared" ca="1" si="10"/>
        <v/>
      </c>
      <c r="BE30" s="14" t="str">
        <f t="shared" ca="1" si="10"/>
        <v/>
      </c>
      <c r="BF30" s="14" t="str">
        <f t="shared" ca="1" si="10"/>
        <v/>
      </c>
      <c r="BG30" s="14" t="str">
        <f t="shared" ca="1" si="10"/>
        <v/>
      </c>
      <c r="BH30" s="14" t="str">
        <f t="shared" ca="1" si="10"/>
        <v/>
      </c>
      <c r="BI30" s="14" t="str">
        <f t="shared" ca="1" si="10"/>
        <v/>
      </c>
      <c r="BJ30" s="14" t="str">
        <f t="shared" ca="1" si="10"/>
        <v/>
      </c>
      <c r="BK30" s="14" t="str">
        <f t="shared" ca="1" si="10"/>
        <v/>
      </c>
      <c r="BL30" s="14" t="str">
        <f t="shared" ca="1" si="10"/>
        <v/>
      </c>
    </row>
    <row r="31" spans="1:64" s="1" customFormat="1" ht="40.15" customHeight="1">
      <c r="A31" s="6"/>
      <c r="B31" s="21" t="s">
        <v>21</v>
      </c>
      <c r="C31" s="17"/>
      <c r="D31" s="17"/>
      <c r="E31" s="18"/>
      <c r="F31" s="19">
        <f ca="1">F30+14</f>
        <v>45623</v>
      </c>
      <c r="G31" s="20">
        <v>5</v>
      </c>
      <c r="H31" s="17"/>
      <c r="I31" s="14" t="str">
        <f t="shared" ca="1" si="12"/>
        <v/>
      </c>
      <c r="J31" s="14" t="str">
        <f t="shared" ca="1" si="12"/>
        <v/>
      </c>
      <c r="K31" s="14" t="str">
        <f t="shared" ca="1" si="12"/>
        <v/>
      </c>
      <c r="L31" s="14" t="str">
        <f t="shared" ca="1" si="12"/>
        <v/>
      </c>
      <c r="M31" s="14" t="str">
        <f t="shared" ca="1" si="12"/>
        <v/>
      </c>
      <c r="N31" s="14" t="str">
        <f t="shared" ca="1" si="12"/>
        <v/>
      </c>
      <c r="O31" s="14" t="str">
        <f t="shared" ca="1" si="12"/>
        <v/>
      </c>
      <c r="P31" s="14" t="str">
        <f t="shared" ca="1" si="12"/>
        <v/>
      </c>
      <c r="Q31" s="14" t="str">
        <f t="shared" ca="1" si="12"/>
        <v/>
      </c>
      <c r="R31" s="14" t="str">
        <f t="shared" ca="1" si="12"/>
        <v/>
      </c>
      <c r="S31" s="14" t="str">
        <f t="shared" ca="1" si="12"/>
        <v/>
      </c>
      <c r="T31" s="14" t="str">
        <f t="shared" ca="1" si="12"/>
        <v/>
      </c>
      <c r="U31" s="14" t="str">
        <f t="shared" ca="1" si="12"/>
        <v/>
      </c>
      <c r="V31" s="14" t="str">
        <f t="shared" ca="1" si="12"/>
        <v/>
      </c>
      <c r="W31" s="14" t="str">
        <f t="shared" ca="1" si="12"/>
        <v/>
      </c>
      <c r="X31" s="14" t="str">
        <f t="shared" ca="1" si="12"/>
        <v/>
      </c>
      <c r="Y31" s="14" t="str">
        <f t="shared" ca="1" si="11"/>
        <v/>
      </c>
      <c r="Z31" s="14" t="str">
        <f t="shared" ca="1" si="11"/>
        <v/>
      </c>
      <c r="AA31" s="14" t="str">
        <f t="shared" ca="1" si="11"/>
        <v/>
      </c>
      <c r="AB31" s="14" t="str">
        <f t="shared" ca="1" si="11"/>
        <v/>
      </c>
      <c r="AC31" s="14" t="str">
        <f t="shared" ca="1" si="11"/>
        <v/>
      </c>
      <c r="AD31" s="14" t="str">
        <f t="shared" ca="1" si="11"/>
        <v/>
      </c>
      <c r="AE31" s="14" t="str">
        <f t="shared" ca="1" si="11"/>
        <v/>
      </c>
      <c r="AF31" s="14" t="str">
        <f t="shared" ca="1" si="11"/>
        <v/>
      </c>
      <c r="AG31" s="14" t="str">
        <f t="shared" ca="1" si="11"/>
        <v/>
      </c>
      <c r="AH31" s="14" t="str">
        <f t="shared" ca="1" si="11"/>
        <v/>
      </c>
      <c r="AI31" s="14" t="str">
        <f t="shared" ca="1" si="11"/>
        <v/>
      </c>
      <c r="AJ31" s="14" t="str">
        <f t="shared" ca="1" si="11"/>
        <v/>
      </c>
      <c r="AK31" s="14" t="str">
        <f t="shared" ca="1" si="11"/>
        <v/>
      </c>
      <c r="AL31" s="14" t="str">
        <f t="shared" ca="1" si="11"/>
        <v/>
      </c>
      <c r="AM31" s="14" t="str">
        <f t="shared" ca="1" si="11"/>
        <v/>
      </c>
      <c r="AN31" s="14" t="str">
        <f t="shared" ca="1" si="9"/>
        <v/>
      </c>
      <c r="AO31" s="14" t="str">
        <f t="shared" ca="1" si="9"/>
        <v/>
      </c>
      <c r="AP31" s="14" t="str">
        <f t="shared" ca="1" si="9"/>
        <v/>
      </c>
      <c r="AQ31" s="14" t="str">
        <f t="shared" ca="1" si="9"/>
        <v/>
      </c>
      <c r="AR31" s="14" t="str">
        <f t="shared" ca="1" si="9"/>
        <v/>
      </c>
      <c r="AS31" s="14" t="str">
        <f t="shared" ca="1" si="9"/>
        <v/>
      </c>
      <c r="AT31" s="14" t="str">
        <f t="shared" ca="1" si="9"/>
        <v/>
      </c>
      <c r="AU31" s="14" t="str">
        <f t="shared" ca="1" si="9"/>
        <v/>
      </c>
      <c r="AV31" s="14" t="str">
        <f t="shared" ca="1" si="9"/>
        <v/>
      </c>
      <c r="AW31" s="14" t="str">
        <f t="shared" ca="1" si="9"/>
        <v/>
      </c>
      <c r="AX31" s="14" t="str">
        <f t="shared" ca="1" si="9"/>
        <v/>
      </c>
      <c r="AY31" s="14" t="str">
        <f t="shared" ca="1" si="9"/>
        <v/>
      </c>
      <c r="AZ31" s="14" t="str">
        <f t="shared" ca="1" si="9"/>
        <v/>
      </c>
      <c r="BA31" s="14" t="str">
        <f t="shared" ca="1" si="9"/>
        <v/>
      </c>
      <c r="BB31" s="14" t="str">
        <f t="shared" ca="1" si="9"/>
        <v/>
      </c>
      <c r="BC31" s="14" t="str">
        <f t="shared" ca="1" si="9"/>
        <v/>
      </c>
      <c r="BD31" s="14" t="str">
        <f t="shared" ca="1" si="10"/>
        <v/>
      </c>
      <c r="BE31" s="14" t="str">
        <f t="shared" ca="1" si="10"/>
        <v/>
      </c>
      <c r="BF31" s="14" t="str">
        <f t="shared" ca="1" si="10"/>
        <v/>
      </c>
      <c r="BG31" s="14" t="str">
        <f t="shared" ca="1" si="10"/>
        <v/>
      </c>
      <c r="BH31" s="14" t="str">
        <f t="shared" ca="1" si="10"/>
        <v/>
      </c>
      <c r="BI31" s="14" t="str">
        <f t="shared" ca="1" si="10"/>
        <v/>
      </c>
      <c r="BJ31" s="14" t="str">
        <f t="shared" ca="1" si="10"/>
        <v/>
      </c>
      <c r="BK31" s="14" t="str">
        <f t="shared" ca="1" si="10"/>
        <v/>
      </c>
      <c r="BL31" s="14" t="str">
        <f t="shared" ca="1" si="10"/>
        <v/>
      </c>
    </row>
    <row r="32" spans="1:64" s="1" customFormat="1" ht="40.15" customHeight="1">
      <c r="A32" s="6"/>
      <c r="B32" s="21" t="s">
        <v>23</v>
      </c>
      <c r="C32" s="17" t="s">
        <v>22</v>
      </c>
      <c r="D32" s="17"/>
      <c r="E32" s="18"/>
      <c r="F32" s="19">
        <f ca="1">F31+42</f>
        <v>45665</v>
      </c>
      <c r="G32" s="20">
        <v>1</v>
      </c>
      <c r="H32" s="17"/>
      <c r="I32" s="14" t="str">
        <f t="shared" ca="1" si="12"/>
        <v/>
      </c>
      <c r="J32" s="14" t="str">
        <f t="shared" ca="1" si="12"/>
        <v/>
      </c>
      <c r="K32" s="14" t="str">
        <f t="shared" ca="1" si="12"/>
        <v/>
      </c>
      <c r="L32" s="14" t="str">
        <f t="shared" ca="1" si="12"/>
        <v/>
      </c>
      <c r="M32" s="14" t="str">
        <f t="shared" ca="1" si="12"/>
        <v/>
      </c>
      <c r="N32" s="14" t="str">
        <f t="shared" ca="1" si="12"/>
        <v/>
      </c>
      <c r="O32" s="14" t="str">
        <f t="shared" ca="1" si="12"/>
        <v/>
      </c>
      <c r="P32" s="14" t="str">
        <f t="shared" ca="1" si="12"/>
        <v/>
      </c>
      <c r="Q32" s="14" t="str">
        <f t="shared" ca="1" si="12"/>
        <v/>
      </c>
      <c r="R32" s="14" t="str">
        <f t="shared" ca="1" si="12"/>
        <v/>
      </c>
      <c r="S32" s="14" t="str">
        <f t="shared" ca="1" si="12"/>
        <v/>
      </c>
      <c r="T32" s="14" t="str">
        <f t="shared" ca="1" si="12"/>
        <v/>
      </c>
      <c r="U32" s="14" t="str">
        <f t="shared" ca="1" si="12"/>
        <v/>
      </c>
      <c r="V32" s="14" t="str">
        <f t="shared" ca="1" si="12"/>
        <v/>
      </c>
      <c r="W32" s="14" t="str">
        <f t="shared" ca="1" si="12"/>
        <v/>
      </c>
      <c r="X32" s="14" t="str">
        <f t="shared" ca="1" si="12"/>
        <v/>
      </c>
      <c r="Y32" s="14" t="str">
        <f t="shared" ca="1" si="11"/>
        <v/>
      </c>
      <c r="Z32" s="14" t="str">
        <f t="shared" ca="1" si="11"/>
        <v/>
      </c>
      <c r="AA32" s="14" t="str">
        <f t="shared" ca="1" si="11"/>
        <v/>
      </c>
      <c r="AB32" s="14" t="str">
        <f t="shared" ca="1" si="11"/>
        <v/>
      </c>
      <c r="AC32" s="14" t="str">
        <f t="shared" ca="1" si="11"/>
        <v/>
      </c>
      <c r="AD32" s="14" t="str">
        <f t="shared" ca="1" si="11"/>
        <v/>
      </c>
      <c r="AE32" s="14" t="str">
        <f t="shared" ca="1" si="11"/>
        <v/>
      </c>
      <c r="AF32" s="14" t="str">
        <f t="shared" ca="1" si="11"/>
        <v/>
      </c>
      <c r="AG32" s="14" t="str">
        <f t="shared" ca="1" si="11"/>
        <v/>
      </c>
      <c r="AH32" s="14" t="str">
        <f t="shared" ca="1" si="11"/>
        <v/>
      </c>
      <c r="AI32" s="14" t="str">
        <f t="shared" ca="1" si="11"/>
        <v/>
      </c>
      <c r="AJ32" s="14" t="str">
        <f t="shared" ca="1" si="11"/>
        <v/>
      </c>
      <c r="AK32" s="14" t="str">
        <f t="shared" ca="1" si="11"/>
        <v/>
      </c>
      <c r="AL32" s="14" t="str">
        <f t="shared" ca="1" si="11"/>
        <v/>
      </c>
      <c r="AM32" s="14" t="str">
        <f t="shared" ca="1" si="11"/>
        <v/>
      </c>
      <c r="AN32" s="14" t="str">
        <f t="shared" ca="1" si="9"/>
        <v/>
      </c>
      <c r="AO32" s="14" t="str">
        <f t="shared" ca="1" si="9"/>
        <v/>
      </c>
      <c r="AP32" s="14" t="str">
        <f t="shared" ca="1" si="9"/>
        <v/>
      </c>
      <c r="AQ32" s="14" t="str">
        <f t="shared" ca="1" si="9"/>
        <v/>
      </c>
      <c r="AR32" s="14" t="str">
        <f t="shared" ca="1" si="9"/>
        <v/>
      </c>
      <c r="AS32" s="14" t="str">
        <f t="shared" ca="1" si="9"/>
        <v/>
      </c>
      <c r="AT32" s="14" t="str">
        <f t="shared" ca="1" si="9"/>
        <v/>
      </c>
      <c r="AU32" s="14" t="str">
        <f t="shared" ca="1" si="9"/>
        <v/>
      </c>
      <c r="AV32" s="14" t="str">
        <f t="shared" ca="1" si="9"/>
        <v/>
      </c>
      <c r="AW32" s="14" t="str">
        <f t="shared" ca="1" si="9"/>
        <v/>
      </c>
      <c r="AX32" s="14" t="str">
        <f t="shared" ca="1" si="9"/>
        <v/>
      </c>
      <c r="AY32" s="14" t="str">
        <f t="shared" ca="1" si="9"/>
        <v/>
      </c>
      <c r="AZ32" s="14" t="str">
        <f t="shared" ca="1" si="9"/>
        <v/>
      </c>
      <c r="BA32" s="14" t="str">
        <f t="shared" ca="1" si="9"/>
        <v/>
      </c>
      <c r="BB32" s="14" t="str">
        <f t="shared" ca="1" si="9"/>
        <v/>
      </c>
      <c r="BC32" s="14" t="str">
        <f t="shared" ca="1" si="9"/>
        <v/>
      </c>
      <c r="BD32" s="14" t="str">
        <f t="shared" ca="1" si="10"/>
        <v/>
      </c>
      <c r="BE32" s="14" t="str">
        <f t="shared" ca="1" si="10"/>
        <v/>
      </c>
      <c r="BF32" s="14" t="str">
        <f t="shared" ca="1" si="10"/>
        <v/>
      </c>
      <c r="BG32" s="14" t="str">
        <f t="shared" ca="1" si="10"/>
        <v/>
      </c>
      <c r="BH32" s="14" t="str">
        <f t="shared" ca="1" si="10"/>
        <v/>
      </c>
      <c r="BI32" s="14" t="str">
        <f t="shared" ca="1" si="10"/>
        <v/>
      </c>
      <c r="BJ32" s="14" t="str">
        <f t="shared" ca="1" si="10"/>
        <v/>
      </c>
      <c r="BK32" s="14" t="str">
        <f t="shared" ca="1" si="10"/>
        <v/>
      </c>
      <c r="BL32" s="14" t="str">
        <f t="shared" ca="1" si="10"/>
        <v/>
      </c>
    </row>
    <row r="33" spans="1:65" s="1" customFormat="1" ht="40.15" customHeight="1">
      <c r="A33" s="6"/>
      <c r="B33" s="21" t="s">
        <v>25</v>
      </c>
      <c r="C33" s="17"/>
      <c r="D33" s="17"/>
      <c r="E33" s="18"/>
      <c r="F33" s="19"/>
      <c r="G33" s="20"/>
      <c r="H33" s="17"/>
      <c r="I33" s="14" t="str">
        <f t="shared" ca="1" si="12"/>
        <v/>
      </c>
      <c r="J33" s="14" t="str">
        <f t="shared" ca="1" si="12"/>
        <v/>
      </c>
      <c r="K33" s="14" t="str">
        <f t="shared" ca="1" si="12"/>
        <v/>
      </c>
      <c r="L33" s="14" t="str">
        <f t="shared" ca="1" si="12"/>
        <v/>
      </c>
      <c r="M33" s="14" t="str">
        <f t="shared" ca="1" si="12"/>
        <v/>
      </c>
      <c r="N33" s="14" t="str">
        <f t="shared" ca="1" si="12"/>
        <v/>
      </c>
      <c r="O33" s="14" t="str">
        <f t="shared" ca="1" si="12"/>
        <v/>
      </c>
      <c r="P33" s="14" t="str">
        <f t="shared" ca="1" si="12"/>
        <v/>
      </c>
      <c r="Q33" s="14" t="str">
        <f t="shared" ca="1" si="12"/>
        <v/>
      </c>
      <c r="R33" s="14" t="str">
        <f t="shared" ca="1" si="12"/>
        <v/>
      </c>
      <c r="S33" s="14" t="str">
        <f t="shared" ca="1" si="12"/>
        <v/>
      </c>
      <c r="T33" s="14" t="str">
        <f t="shared" ca="1" si="12"/>
        <v/>
      </c>
      <c r="U33" s="14" t="str">
        <f t="shared" ca="1" si="12"/>
        <v/>
      </c>
      <c r="V33" s="14" t="str">
        <f t="shared" ca="1" si="12"/>
        <v/>
      </c>
      <c r="W33" s="14" t="str">
        <f t="shared" ca="1" si="12"/>
        <v/>
      </c>
      <c r="X33" s="14" t="str">
        <f t="shared" ca="1" si="12"/>
        <v/>
      </c>
      <c r="Y33" s="14" t="str">
        <f t="shared" ca="1" si="11"/>
        <v/>
      </c>
      <c r="Z33" s="14" t="str">
        <f t="shared" ca="1" si="11"/>
        <v/>
      </c>
      <c r="AA33" s="14" t="str">
        <f t="shared" ca="1" si="11"/>
        <v/>
      </c>
      <c r="AB33" s="14" t="str">
        <f t="shared" ca="1" si="11"/>
        <v/>
      </c>
      <c r="AC33" s="14" t="str">
        <f t="shared" ca="1" si="11"/>
        <v/>
      </c>
      <c r="AD33" s="14" t="str">
        <f t="shared" ca="1" si="11"/>
        <v/>
      </c>
      <c r="AE33" s="14" t="str">
        <f t="shared" ca="1" si="11"/>
        <v/>
      </c>
      <c r="AF33" s="14" t="str">
        <f t="shared" ca="1" si="11"/>
        <v/>
      </c>
      <c r="AG33" s="14" t="str">
        <f t="shared" ca="1" si="11"/>
        <v/>
      </c>
      <c r="AH33" s="14" t="str">
        <f t="shared" ca="1" si="11"/>
        <v/>
      </c>
      <c r="AI33" s="14" t="str">
        <f t="shared" ca="1" si="11"/>
        <v/>
      </c>
      <c r="AJ33" s="14" t="str">
        <f t="shared" ca="1" si="11"/>
        <v/>
      </c>
      <c r="AK33" s="14" t="str">
        <f t="shared" ca="1" si="11"/>
        <v/>
      </c>
      <c r="AL33" s="14" t="str">
        <f t="shared" ca="1" si="11"/>
        <v/>
      </c>
      <c r="AM33" s="14" t="str">
        <f t="shared" ca="1" si="11"/>
        <v/>
      </c>
      <c r="AN33" s="14" t="str">
        <f t="shared" ca="1" si="9"/>
        <v/>
      </c>
      <c r="AO33" s="14" t="str">
        <f t="shared" ca="1" si="9"/>
        <v/>
      </c>
      <c r="AP33" s="14" t="str">
        <f t="shared" ca="1" si="9"/>
        <v/>
      </c>
      <c r="AQ33" s="14" t="str">
        <f t="shared" ca="1" si="9"/>
        <v/>
      </c>
      <c r="AR33" s="14" t="str">
        <f t="shared" ca="1" si="9"/>
        <v/>
      </c>
      <c r="AS33" s="14" t="str">
        <f t="shared" ca="1" si="9"/>
        <v/>
      </c>
      <c r="AT33" s="14" t="str">
        <f t="shared" ca="1" si="9"/>
        <v/>
      </c>
      <c r="AU33" s="14" t="str">
        <f t="shared" ca="1" si="9"/>
        <v/>
      </c>
      <c r="AV33" s="14" t="str">
        <f t="shared" ca="1" si="9"/>
        <v/>
      </c>
      <c r="AW33" s="14" t="str">
        <f t="shared" ca="1" si="9"/>
        <v/>
      </c>
      <c r="AX33" s="14" t="str">
        <f t="shared" ca="1" si="9"/>
        <v/>
      </c>
      <c r="AY33" s="14" t="str">
        <f t="shared" ca="1" si="9"/>
        <v/>
      </c>
      <c r="AZ33" s="14" t="str">
        <f t="shared" ca="1" si="9"/>
        <v/>
      </c>
      <c r="BA33" s="14" t="str">
        <f t="shared" ca="1" si="9"/>
        <v/>
      </c>
      <c r="BB33" s="14" t="str">
        <f t="shared" ca="1" si="9"/>
        <v/>
      </c>
      <c r="BC33" s="14" t="str">
        <f t="shared" ca="1" si="9"/>
        <v/>
      </c>
      <c r="BD33" s="14" t="str">
        <f t="shared" ca="1" si="10"/>
        <v/>
      </c>
      <c r="BE33" s="14" t="str">
        <f t="shared" ca="1" si="10"/>
        <v/>
      </c>
      <c r="BF33" s="14" t="str">
        <f t="shared" ca="1" si="10"/>
        <v/>
      </c>
      <c r="BG33" s="14" t="str">
        <f t="shared" ca="1" si="10"/>
        <v/>
      </c>
      <c r="BH33" s="14" t="str">
        <f t="shared" ca="1" si="10"/>
        <v/>
      </c>
      <c r="BI33" s="14" t="str">
        <f t="shared" ca="1" si="10"/>
        <v/>
      </c>
      <c r="BJ33" s="14" t="str">
        <f t="shared" ca="1" si="10"/>
        <v/>
      </c>
      <c r="BK33" s="14" t="str">
        <f t="shared" ca="1" si="10"/>
        <v/>
      </c>
      <c r="BL33" s="14" t="str">
        <f t="shared" ca="1" si="10"/>
        <v/>
      </c>
    </row>
    <row r="34" spans="1:65" s="1" customFormat="1" ht="40.15" customHeight="1">
      <c r="A34" s="6"/>
      <c r="B34" s="21" t="s">
        <v>26</v>
      </c>
      <c r="C34" s="17"/>
      <c r="D34" s="17"/>
      <c r="E34" s="18"/>
      <c r="F34" s="19"/>
      <c r="G34" s="20"/>
      <c r="H34" s="17"/>
      <c r="I34" s="14" t="str">
        <f t="shared" ca="1" si="12"/>
        <v/>
      </c>
      <c r="J34" s="14" t="str">
        <f t="shared" ca="1" si="12"/>
        <v/>
      </c>
      <c r="K34" s="14" t="str">
        <f t="shared" ca="1" si="12"/>
        <v/>
      </c>
      <c r="L34" s="14" t="str">
        <f t="shared" ca="1" si="12"/>
        <v/>
      </c>
      <c r="M34" s="14" t="str">
        <f t="shared" ca="1" si="12"/>
        <v/>
      </c>
      <c r="N34" s="14" t="str">
        <f t="shared" ca="1" si="12"/>
        <v/>
      </c>
      <c r="O34" s="14" t="str">
        <f t="shared" ca="1" si="12"/>
        <v/>
      </c>
      <c r="P34" s="14" t="str">
        <f t="shared" ca="1" si="12"/>
        <v/>
      </c>
      <c r="Q34" s="14" t="str">
        <f t="shared" ca="1" si="12"/>
        <v/>
      </c>
      <c r="R34" s="14" t="str">
        <f t="shared" ca="1" si="12"/>
        <v/>
      </c>
      <c r="S34" s="14" t="str">
        <f t="shared" ca="1" si="12"/>
        <v/>
      </c>
      <c r="T34" s="14" t="str">
        <f t="shared" ca="1" si="12"/>
        <v/>
      </c>
      <c r="U34" s="14" t="str">
        <f t="shared" ca="1" si="12"/>
        <v/>
      </c>
      <c r="V34" s="14" t="str">
        <f t="shared" ca="1" si="12"/>
        <v/>
      </c>
      <c r="W34" s="14" t="str">
        <f t="shared" ca="1" si="12"/>
        <v/>
      </c>
      <c r="X34" s="14" t="str">
        <f t="shared" ca="1" si="12"/>
        <v/>
      </c>
      <c r="Y34" s="14" t="str">
        <f t="shared" ca="1" si="11"/>
        <v/>
      </c>
      <c r="Z34" s="14" t="str">
        <f t="shared" ca="1" si="11"/>
        <v/>
      </c>
      <c r="AA34" s="14" t="str">
        <f t="shared" ca="1" si="11"/>
        <v/>
      </c>
      <c r="AB34" s="14" t="str">
        <f t="shared" ca="1" si="11"/>
        <v/>
      </c>
      <c r="AC34" s="14" t="str">
        <f t="shared" ca="1" si="11"/>
        <v/>
      </c>
      <c r="AD34" s="14" t="str">
        <f t="shared" ca="1" si="11"/>
        <v/>
      </c>
      <c r="AE34" s="14" t="str">
        <f t="shared" ca="1" si="11"/>
        <v/>
      </c>
      <c r="AF34" s="14" t="str">
        <f t="shared" ca="1" si="11"/>
        <v/>
      </c>
      <c r="AG34" s="14" t="str">
        <f t="shared" ca="1" si="11"/>
        <v/>
      </c>
      <c r="AH34" s="14" t="str">
        <f t="shared" ca="1" si="11"/>
        <v/>
      </c>
      <c r="AI34" s="14" t="str">
        <f t="shared" ca="1" si="11"/>
        <v/>
      </c>
      <c r="AJ34" s="14" t="str">
        <f t="shared" ca="1" si="11"/>
        <v/>
      </c>
      <c r="AK34" s="14" t="str">
        <f t="shared" ca="1" si="11"/>
        <v/>
      </c>
      <c r="AL34" s="14" t="str">
        <f t="shared" ca="1" si="11"/>
        <v/>
      </c>
      <c r="AM34" s="14" t="str">
        <f t="shared" ca="1" si="11"/>
        <v/>
      </c>
      <c r="AN34" s="14" t="str">
        <f t="shared" ca="1" si="9"/>
        <v/>
      </c>
      <c r="AO34" s="14" t="str">
        <f t="shared" ca="1" si="9"/>
        <v/>
      </c>
      <c r="AP34" s="14" t="str">
        <f t="shared" ca="1" si="9"/>
        <v/>
      </c>
      <c r="AQ34" s="14" t="str">
        <f t="shared" ca="1" si="9"/>
        <v/>
      </c>
      <c r="AR34" s="14" t="str">
        <f t="shared" ca="1" si="9"/>
        <v/>
      </c>
      <c r="AS34" s="14" t="str">
        <f t="shared" ca="1" si="9"/>
        <v/>
      </c>
      <c r="AT34" s="14" t="str">
        <f t="shared" ca="1" si="9"/>
        <v/>
      </c>
      <c r="AU34" s="14" t="str">
        <f t="shared" ca="1" si="9"/>
        <v/>
      </c>
      <c r="AV34" s="14" t="str">
        <f t="shared" ca="1" si="9"/>
        <v/>
      </c>
      <c r="AW34" s="14" t="str">
        <f t="shared" ca="1" si="9"/>
        <v/>
      </c>
      <c r="AX34" s="14" t="str">
        <f t="shared" ca="1" si="9"/>
        <v/>
      </c>
      <c r="AY34" s="14" t="str">
        <f t="shared" ca="1" si="9"/>
        <v/>
      </c>
      <c r="AZ34" s="14" t="str">
        <f t="shared" ca="1" si="9"/>
        <v/>
      </c>
      <c r="BA34" s="14" t="str">
        <f t="shared" ca="1" si="9"/>
        <v/>
      </c>
      <c r="BB34" s="14" t="str">
        <f t="shared" ca="1" si="9"/>
        <v/>
      </c>
      <c r="BC34" s="14" t="str">
        <f t="shared" ca="1" si="9"/>
        <v/>
      </c>
      <c r="BD34" s="14" t="str">
        <f t="shared" ca="1" si="10"/>
        <v/>
      </c>
      <c r="BE34" s="14" t="str">
        <f t="shared" ca="1" si="10"/>
        <v/>
      </c>
      <c r="BF34" s="14" t="str">
        <f t="shared" ca="1" si="10"/>
        <v/>
      </c>
      <c r="BG34" s="14" t="str">
        <f t="shared" ca="1" si="10"/>
        <v/>
      </c>
      <c r="BH34" s="14" t="str">
        <f t="shared" ca="1" si="10"/>
        <v/>
      </c>
      <c r="BI34" s="14" t="str">
        <f t="shared" ca="1" si="10"/>
        <v/>
      </c>
      <c r="BJ34" s="14" t="str">
        <f t="shared" ca="1" si="10"/>
        <v/>
      </c>
      <c r="BK34" s="14" t="str">
        <f t="shared" ca="1" si="10"/>
        <v/>
      </c>
      <c r="BL34" s="14" t="str">
        <f t="shared" ca="1" si="10"/>
        <v/>
      </c>
    </row>
    <row r="35" spans="1:65" s="1" customFormat="1" ht="40.15" customHeight="1">
      <c r="A35" s="6"/>
      <c r="B35" s="21"/>
      <c r="C35" s="17"/>
      <c r="D35" s="17"/>
      <c r="E35" s="18"/>
      <c r="F35" s="19"/>
      <c r="G35" s="20"/>
      <c r="H35" s="17"/>
      <c r="I35" s="14" t="str">
        <f t="shared" ca="1" si="12"/>
        <v/>
      </c>
      <c r="J35" s="14" t="str">
        <f t="shared" ca="1" si="12"/>
        <v/>
      </c>
      <c r="K35" s="14" t="str">
        <f t="shared" ca="1" si="12"/>
        <v/>
      </c>
      <c r="L35" s="14" t="str">
        <f t="shared" ca="1" si="12"/>
        <v/>
      </c>
      <c r="M35" s="14" t="str">
        <f t="shared" ca="1" si="12"/>
        <v/>
      </c>
      <c r="N35" s="14" t="str">
        <f t="shared" ca="1" si="12"/>
        <v/>
      </c>
      <c r="O35" s="14" t="str">
        <f t="shared" ca="1" si="12"/>
        <v/>
      </c>
      <c r="P35" s="14" t="str">
        <f t="shared" ca="1" si="12"/>
        <v/>
      </c>
      <c r="Q35" s="14" t="str">
        <f t="shared" ca="1" si="12"/>
        <v/>
      </c>
      <c r="R35" s="14" t="str">
        <f t="shared" ca="1" si="12"/>
        <v/>
      </c>
      <c r="S35" s="14" t="str">
        <f t="shared" ca="1" si="12"/>
        <v/>
      </c>
      <c r="T35" s="14" t="str">
        <f t="shared" ca="1" si="12"/>
        <v/>
      </c>
      <c r="U35" s="14" t="str">
        <f t="shared" ca="1" si="12"/>
        <v/>
      </c>
      <c r="V35" s="14" t="str">
        <f t="shared" ca="1" si="12"/>
        <v/>
      </c>
      <c r="W35" s="14" t="str">
        <f t="shared" ca="1" si="12"/>
        <v/>
      </c>
      <c r="X35" s="14" t="str">
        <f t="shared" ca="1" si="12"/>
        <v/>
      </c>
      <c r="Y35" s="14" t="str">
        <f t="shared" ca="1" si="11"/>
        <v/>
      </c>
      <c r="Z35" s="14" t="str">
        <f t="shared" ca="1" si="11"/>
        <v/>
      </c>
      <c r="AA35" s="14" t="str">
        <f t="shared" ca="1" si="11"/>
        <v/>
      </c>
      <c r="AB35" s="14" t="str">
        <f t="shared" ca="1" si="11"/>
        <v/>
      </c>
      <c r="AC35" s="14" t="str">
        <f t="shared" ca="1" si="11"/>
        <v/>
      </c>
      <c r="AD35" s="14" t="str">
        <f t="shared" ca="1" si="11"/>
        <v/>
      </c>
      <c r="AE35" s="14" t="str">
        <f t="shared" ca="1" si="11"/>
        <v/>
      </c>
      <c r="AF35" s="14" t="str">
        <f t="shared" ca="1" si="11"/>
        <v/>
      </c>
      <c r="AG35" s="14" t="str">
        <f t="shared" ca="1" si="11"/>
        <v/>
      </c>
      <c r="AH35" s="14" t="str">
        <f t="shared" ca="1" si="11"/>
        <v/>
      </c>
      <c r="AI35" s="14" t="str">
        <f t="shared" ca="1" si="11"/>
        <v/>
      </c>
      <c r="AJ35" s="14" t="str">
        <f t="shared" ca="1" si="11"/>
        <v/>
      </c>
      <c r="AK35" s="14" t="str">
        <f t="shared" ca="1" si="11"/>
        <v/>
      </c>
      <c r="AL35" s="14" t="str">
        <f t="shared" ca="1" si="11"/>
        <v/>
      </c>
      <c r="AM35" s="14" t="str">
        <f t="shared" ca="1" si="11"/>
        <v/>
      </c>
      <c r="AN35" s="14" t="str">
        <f t="shared" ca="1" si="9"/>
        <v/>
      </c>
      <c r="AO35" s="14" t="str">
        <f t="shared" ca="1" si="9"/>
        <v/>
      </c>
      <c r="AP35" s="14" t="str">
        <f t="shared" ca="1" si="9"/>
        <v/>
      </c>
      <c r="AQ35" s="14" t="str">
        <f t="shared" ca="1" si="9"/>
        <v/>
      </c>
      <c r="AR35" s="14" t="str">
        <f t="shared" ca="1" si="9"/>
        <v/>
      </c>
      <c r="AS35" s="14" t="str">
        <f t="shared" ca="1" si="9"/>
        <v/>
      </c>
      <c r="AT35" s="14" t="str">
        <f t="shared" ca="1" si="9"/>
        <v/>
      </c>
      <c r="AU35" s="14" t="str">
        <f t="shared" ca="1" si="9"/>
        <v/>
      </c>
      <c r="AV35" s="14" t="str">
        <f t="shared" ca="1" si="9"/>
        <v/>
      </c>
      <c r="AW35" s="14" t="str">
        <f t="shared" ca="1" si="9"/>
        <v/>
      </c>
      <c r="AX35" s="14" t="str">
        <f t="shared" ca="1" si="9"/>
        <v/>
      </c>
      <c r="AY35" s="14" t="str">
        <f t="shared" ca="1" si="9"/>
        <v/>
      </c>
      <c r="AZ35" s="14" t="str">
        <f t="shared" ca="1" si="9"/>
        <v/>
      </c>
      <c r="BA35" s="14" t="str">
        <f t="shared" ca="1" si="9"/>
        <v/>
      </c>
      <c r="BB35" s="14" t="str">
        <f t="shared" ca="1" si="9"/>
        <v/>
      </c>
      <c r="BC35" s="14" t="str">
        <f t="shared" ca="1" si="9"/>
        <v/>
      </c>
      <c r="BD35" s="14" t="str">
        <f t="shared" ca="1" si="10"/>
        <v/>
      </c>
      <c r="BE35" s="14" t="str">
        <f t="shared" ca="1" si="10"/>
        <v/>
      </c>
      <c r="BF35" s="14" t="str">
        <f t="shared" ca="1" si="10"/>
        <v/>
      </c>
      <c r="BG35" s="14" t="str">
        <f t="shared" ca="1" si="10"/>
        <v/>
      </c>
      <c r="BH35" s="14" t="str">
        <f t="shared" ca="1" si="10"/>
        <v/>
      </c>
      <c r="BI35" s="14" t="str">
        <f t="shared" ca="1" si="10"/>
        <v/>
      </c>
      <c r="BJ35" s="14" t="str">
        <f t="shared" ca="1" si="10"/>
        <v/>
      </c>
      <c r="BK35" s="14" t="str">
        <f t="shared" ca="1" si="10"/>
        <v/>
      </c>
      <c r="BL35" s="14" t="str">
        <f t="shared" ca="1" si="10"/>
        <v/>
      </c>
      <c r="BM35" s="43"/>
    </row>
    <row r="36" spans="1:65" s="1" customFormat="1" ht="40.15" customHeight="1">
      <c r="A36" s="7"/>
      <c r="B36" s="59" t="s">
        <v>33</v>
      </c>
      <c r="C36" s="17"/>
      <c r="D36" s="17"/>
      <c r="E36" s="29"/>
      <c r="F36" s="39"/>
      <c r="G36" s="40"/>
      <c r="H36" s="17"/>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row>
    <row r="37" spans="1:65" ht="30" customHeight="1">
      <c r="D37" s="4"/>
      <c r="G37" s="8"/>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7:BL36">
    <cfRule type="expression" dxfId="17" priority="1">
      <formula>AND(TODAY()&gt;=I$7,TODAY()&lt;J$7)</formula>
    </cfRule>
  </conditionalFormatting>
  <conditionalFormatting sqref="I6:AM6">
    <cfRule type="expression" dxfId="16" priority="4">
      <formula>I$7&lt;=EOMONTH($I$7,0)</formula>
    </cfRule>
  </conditionalFormatting>
  <conditionalFormatting sqref="J6:BL6">
    <cfRule type="expression" dxfId="15" priority="3">
      <formula>AND(J$7&lt;=EOMONTH($I$7,2),J$7&gt;EOMONTH($I$7,0),J$7&gt;EOMONTH($I$7,1))</formula>
    </cfRule>
  </conditionalFormatting>
  <conditionalFormatting sqref="I6:BL6">
    <cfRule type="expression" dxfId="14" priority="2">
      <formula>AND(I$7&lt;=EOMONTH($I$7,1),I$7&gt;EOMONTH($I$7,0))</formula>
    </cfRule>
  </conditionalFormatting>
  <conditionalFormatting sqref="I10:BL35">
    <cfRule type="expression" dxfId="13" priority="7" stopIfTrue="1">
      <formula>AND($C10="Low Risk",I$7&gt;=$F10,I$7&lt;=$F10+$G10-1)</formula>
    </cfRule>
    <cfRule type="expression" dxfId="12" priority="8" stopIfTrue="1">
      <formula>AND($C10="High Risk",I$7&gt;=$F10,I$7&lt;=$F10+$G10-1)</formula>
    </cfRule>
    <cfRule type="expression" dxfId="11" priority="9" stopIfTrue="1">
      <formula>AND($C10="On Track",I$7&gt;=$F10,I$7&lt;=$F10+$G10-1)</formula>
    </cfRule>
    <cfRule type="expression" dxfId="10" priority="10" stopIfTrue="1">
      <formula>AND($C10="Med Risk",I$7&gt;=$F10,I$7&lt;=$F10+$G10-1)</formula>
    </cfRule>
    <cfRule type="expression" dxfId="9" priority="11" stopIfTrue="1">
      <formula>AND(LEN($C10)=0,I$7&gt;=$F10,I$7&lt;=$F10+$G10-1)</formula>
    </cfRule>
  </conditionalFormatting>
  <conditionalFormatting sqref="I36:BL36">
    <cfRule type="expression" dxfId="8" priority="13" stopIfTrue="1">
      <formula>AND(#REF!="Low Risk",I$7&gt;=#REF!,I$7&lt;=#REF!+#REF!-1)</formula>
    </cfRule>
    <cfRule type="expression" dxfId="7" priority="14" stopIfTrue="1">
      <formula>AND(#REF!="High Risk",I$7&gt;=#REF!,I$7&lt;=#REF!+#REF!-1)</formula>
    </cfRule>
    <cfRule type="expression" dxfId="6" priority="15" stopIfTrue="1">
      <formula>AND(#REF!="On Track",I$7&gt;=#REF!,I$7&lt;=#REF!+#REF!-1)</formula>
    </cfRule>
    <cfRule type="expression" dxfId="5" priority="16" stopIfTrue="1">
      <formula>AND(#REF!="Med Risk",I$7&gt;=#REF!,I$7&lt;=#REF!+#REF!-1)</formula>
    </cfRule>
    <cfRule type="expression" dxfId="4" priority="17" stopIfTrue="1">
      <formula>AND(LEN(#REF!)=0,I$7&gt;=#REF!,I$7&lt;=#REF!+#REF!-1)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01382ff-e895-4226-9b8b-208a50023ada" xsi:nil="true"/>
    <lcf76f155ced4ddcb4097134ff3c332f xmlns="a5dae947-98e5-495e-bab1-cc2a6059ad3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5247A15C38DE40A573999B6070A975" ma:contentTypeVersion="11" ma:contentTypeDescription="Create a new document." ma:contentTypeScope="" ma:versionID="afb66a0050ffe63c0caaf523038e8bbd">
  <xsd:schema xmlns:xsd="http://www.w3.org/2001/XMLSchema" xmlns:xs="http://www.w3.org/2001/XMLSchema" xmlns:p="http://schemas.microsoft.com/office/2006/metadata/properties" xmlns:ns2="a5dae947-98e5-495e-bab1-cc2a6059ad3b" xmlns:ns3="101382ff-e895-4226-9b8b-208a50023ada" targetNamespace="http://schemas.microsoft.com/office/2006/metadata/properties" ma:root="true" ma:fieldsID="34e31e9107cc25fa3e8a352dd8873f5d" ns2:_="" ns3:_="">
    <xsd:import namespace="a5dae947-98e5-495e-bab1-cc2a6059ad3b"/>
    <xsd:import namespace="101382ff-e895-4226-9b8b-208a50023a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ae947-98e5-495e-bab1-cc2a6059ad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dcab841-b377-4e82-87b7-c4480f26636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01382ff-e895-4226-9b8b-208a50023ad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ad34b7-b5d1-438c-95c5-dcc7e7eb8d6f}" ma:internalName="TaxCatchAll" ma:showField="CatchAllData" ma:web="101382ff-e895-4226-9b8b-208a50023a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C5315E-9A69-4EEB-ACCD-0F886FBF12FB}"/>
</file>

<file path=customXml/itemProps2.xml><?xml version="1.0" encoding="utf-8"?>
<ds:datastoreItem xmlns:ds="http://schemas.openxmlformats.org/officeDocument/2006/customXml" ds:itemID="{11AAADB5-F91F-44CE-8CB6-D8472D59D975}"/>
</file>

<file path=customXml/itemProps3.xml><?xml version="1.0" encoding="utf-8"?>
<ds:datastoreItem xmlns:ds="http://schemas.openxmlformats.org/officeDocument/2006/customXml" ds:itemID="{4819E71E-F978-4CB8-8A04-45810B64D56E}"/>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 Sherman</cp:lastModifiedBy>
  <cp:revision/>
  <dcterms:created xsi:type="dcterms:W3CDTF">2024-09-18T19:51:11Z</dcterms:created>
  <dcterms:modified xsi:type="dcterms:W3CDTF">2024-10-04T22:37:45Z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0x010100215247A15C38DE40A573999B6070A975</vt:lpwstr>
  </property>
</Properties>
</file>