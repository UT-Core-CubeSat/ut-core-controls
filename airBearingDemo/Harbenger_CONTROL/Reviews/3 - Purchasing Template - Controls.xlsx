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e\Dropbox\CubeSat\CONTROL\Reviews\"/>
    </mc:Choice>
  </mc:AlternateContent>
  <xr:revisionPtr revIDLastSave="41" documentId="13_ncr:1_{0291A787-2B4F-49B7-82F8-46C457056E35}" xr6:coauthVersionLast="47" xr6:coauthVersionMax="47" xr10:uidLastSave="{6F891C27-DE14-4C12-929D-16EB02F0DCF7}"/>
  <bookViews>
    <workbookView xWindow="-120" yWindow="-120" windowWidth="29040" windowHeight="15720" xr2:uid="{00000000-000D-0000-FFFF-FFFF00000000}"/>
  </bookViews>
  <sheets>
    <sheet name="Order Sheet" sheetId="1" r:id="rId1"/>
  </sheets>
  <definedNames>
    <definedName name="_xlnm._FilterDatabase" localSheetId="0" hidden="1">'Order Sheet'!$C$5:$I$53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A3" i="1" l="1"/>
  <c r="A2" i="1"/>
  <c r="H24" i="1" l="1"/>
  <c r="H28" i="1"/>
  <c r="H10" i="1"/>
  <c r="H21" i="1"/>
  <c r="H20" i="1"/>
  <c r="H31" i="1"/>
  <c r="H53" i="1" l="1"/>
  <c r="H52" i="1"/>
  <c r="H51" i="1"/>
  <c r="H50" i="1"/>
  <c r="H49" i="1"/>
  <c r="H48" i="1"/>
  <c r="H47" i="1"/>
  <c r="H46" i="1"/>
  <c r="H45" i="1"/>
  <c r="H27" i="1"/>
  <c r="H26" i="1"/>
  <c r="H25" i="1"/>
  <c r="H23" i="1"/>
  <c r="H42" i="1"/>
  <c r="H41" i="1"/>
  <c r="H40" i="1"/>
  <c r="H39" i="1"/>
  <c r="H8" i="1"/>
  <c r="H19" i="1"/>
  <c r="H18" i="1"/>
  <c r="H17" i="1"/>
  <c r="H16" i="1"/>
  <c r="H7" i="1"/>
  <c r="H6" i="1"/>
  <c r="H9" i="1"/>
  <c r="H44" i="1"/>
  <c r="H43" i="1"/>
  <c r="H14" i="1"/>
  <c r="H38" i="1"/>
  <c r="H37" i="1"/>
  <c r="H36" i="1"/>
  <c r="H34" i="1"/>
  <c r="H33" i="1"/>
  <c r="H32" i="1"/>
  <c r="H30" i="1"/>
  <c r="H3" i="1" l="1"/>
</calcChain>
</file>

<file path=xl/sharedStrings.xml><?xml version="1.0" encoding="utf-8"?>
<sst xmlns="http://schemas.openxmlformats.org/spreadsheetml/2006/main" count="42" uniqueCount="38">
  <si>
    <t>Capstone Team Name</t>
  </si>
  <si>
    <t>CubeSat | Control</t>
  </si>
  <si>
    <t>TOTAL</t>
  </si>
  <si>
    <r>
      <rPr>
        <b/>
        <sz val="14"/>
        <color rgb="FF92D050"/>
        <rFont val="Wingdings 2"/>
        <family val="1"/>
        <charset val="2"/>
      </rPr>
      <t>R</t>
    </r>
    <r>
      <rPr>
        <sz val="14"/>
        <color theme="1"/>
        <rFont val="Calibri"/>
        <family val="2"/>
        <scheme val="minor"/>
      </rPr>
      <t xml:space="preserve"> Ordered</t>
    </r>
  </si>
  <si>
    <t>R</t>
  </si>
  <si>
    <t>Contact Info for Clarification</t>
  </si>
  <si>
    <t>ben.sherman@utahtech.edu, trace.shafer@utahtech.edu</t>
  </si>
  <si>
    <r>
      <rPr>
        <b/>
        <sz val="14"/>
        <color rgb="FFFF0000"/>
        <rFont val="Wingdings 2"/>
        <family val="1"/>
        <charset val="2"/>
      </rPr>
      <t>Q</t>
    </r>
    <r>
      <rPr>
        <sz val="14"/>
        <color theme="1"/>
        <rFont val="Calibri"/>
        <family val="2"/>
        <scheme val="minor"/>
      </rPr>
      <t xml:space="preserve"> Rejected</t>
    </r>
  </si>
  <si>
    <t>Q</t>
  </si>
  <si>
    <t>Short Description</t>
  </si>
  <si>
    <t>Price</t>
  </si>
  <si>
    <t>Vendor</t>
  </si>
  <si>
    <t>Web Link</t>
  </si>
  <si>
    <t>Quantity</t>
  </si>
  <si>
    <t>Total</t>
  </si>
  <si>
    <t>Response</t>
  </si>
  <si>
    <t>Distributed</t>
  </si>
  <si>
    <t>Star Tracker Camera</t>
  </si>
  <si>
    <t>Amazon</t>
  </si>
  <si>
    <t>https://a.co/d/azo8EIc</t>
  </si>
  <si>
    <t>Star Tracker Lense</t>
  </si>
  <si>
    <t>https://a.co/d/8E9aowK</t>
  </si>
  <si>
    <t>6061 Aluminum Block</t>
  </si>
  <si>
    <t>Online Metals</t>
  </si>
  <si>
    <t>https://onlinemetalsupply.com/2-5-x-5-x-8-6061-t651-aluminum-plate/</t>
  </si>
  <si>
    <t>Ceramic Bearing</t>
  </si>
  <si>
    <t>Igus</t>
  </si>
  <si>
    <t>https://www.igus.com/product/xiros_radial_B180_GL_B180?artnr=B6801B3G</t>
  </si>
  <si>
    <t>DC Motor</t>
  </si>
  <si>
    <t>iflight</t>
  </si>
  <si>
    <t>https://shop.iflight.com/gimbal-motors-cat44/ipower-gbm4008h-50t-gimbal-motor-stainless-steel-hollow-shaft-pro175</t>
  </si>
  <si>
    <t>Fishing Line</t>
  </si>
  <si>
    <t>https://a.co/d/iAWOZ0S</t>
  </si>
  <si>
    <t>Laser Pointer</t>
  </si>
  <si>
    <t>https://a.co/d/3TOaRBO</t>
  </si>
  <si>
    <t>Mirror</t>
  </si>
  <si>
    <t>https://a.co/d/3r84kyq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</si>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</sst>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Wingdings 2"/>
      <family val="1"/>
      <charset val="2"/>
    </font>
    <font>
      <b/>
      <sz val="14"/>
      <color rgb="FF92D050"/>
      <name val="Wingdings 2"/>
      <family val="1"/>
      <charset val="2"/>
    </font>
    <font>
      <sz val="14"/>
      <color theme="1"/>
      <name val="Calibri"/>
      <family val="2"/>
      <scheme val="minor"/>
    </font>
    <font>
      <b/>
      <sz val="14"/>
      <color rgb="FFFF0000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rgb="FF3F3F3F"/>
      </left>
      <right style="thin">
        <color rgb="FF3F3F3F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69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indent="1"/>
    </xf>
    <xf numFmtId="4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" fontId="0" fillId="3" borderId="0" xfId="0" applyNumberForma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44" fontId="0" fillId="3" borderId="2" xfId="0" applyNumberFormat="1" applyFill="1" applyBorder="1" applyAlignment="1">
      <alignment vertical="center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1" fillId="2" borderId="9" xfId="1" applyBorder="1" applyAlignment="1" applyProtection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44" fontId="0" fillId="3" borderId="4" xfId="0" applyNumberFormat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1" fontId="0" fillId="3" borderId="4" xfId="0" applyNumberFormat="1" applyFill="1" applyBorder="1" applyAlignment="1" applyProtection="1">
      <alignment horizontal="center" vertical="center"/>
      <protection locked="0"/>
    </xf>
    <xf numFmtId="44" fontId="0" fillId="3" borderId="4" xfId="0" applyNumberFormat="1" applyFill="1" applyBorder="1" applyAlignment="1">
      <alignment horizontal="center" vertical="center"/>
    </xf>
    <xf numFmtId="0" fontId="0" fillId="3" borderId="3" xfId="0" applyFill="1" applyBorder="1" applyAlignment="1" applyProtection="1">
      <alignment horizontal="left" vertical="center" indent="1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 applyProtection="1">
      <alignment horizontal="left" vertical="center" indent="1"/>
      <protection locked="0"/>
    </xf>
    <xf numFmtId="44" fontId="0" fillId="3" borderId="8" xfId="0" applyNumberFormat="1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left" vertical="center"/>
      <protection locked="0"/>
    </xf>
    <xf numFmtId="1" fontId="0" fillId="3" borderId="8" xfId="0" applyNumberFormat="1" applyFill="1" applyBorder="1" applyAlignment="1" applyProtection="1">
      <alignment horizontal="center" vertical="center"/>
      <protection locked="0"/>
    </xf>
    <xf numFmtId="44" fontId="0" fillId="3" borderId="8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  <xf numFmtId="0" fontId="0" fillId="5" borderId="13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44" fontId="0" fillId="4" borderId="2" xfId="0" applyNumberFormat="1" applyFill="1" applyBorder="1" applyAlignment="1" applyProtection="1">
      <alignment horizontal="center" vertical="center"/>
      <protection locked="0"/>
    </xf>
    <xf numFmtId="0" fontId="3" fillId="5" borderId="15" xfId="0" applyFont="1" applyFill="1" applyBorder="1" applyAlignment="1">
      <alignment horizontal="center" vertical="center"/>
    </xf>
    <xf numFmtId="0" fontId="1" fillId="2" borderId="14" xfId="1" applyBorder="1" applyAlignment="1" applyProtection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44" fontId="0" fillId="0" borderId="4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44" fontId="0" fillId="0" borderId="4" xfId="4" applyNumberFormat="1" applyFont="1" applyFill="1" applyBorder="1" applyAlignment="1" applyProtection="1">
      <alignment horizontal="center" vertical="center"/>
    </xf>
    <xf numFmtId="44" fontId="0" fillId="0" borderId="4" xfId="3" applyNumberFormat="1" applyFont="1" applyFill="1" applyBorder="1" applyAlignment="1" applyProtection="1">
      <alignment horizontal="center" vertical="center"/>
    </xf>
    <xf numFmtId="0" fontId="9" fillId="0" borderId="4" xfId="2" applyFont="1" applyFill="1" applyBorder="1" applyAlignment="1" applyProtection="1">
      <alignment horizontal="left" vertical="center"/>
      <protection locked="0"/>
    </xf>
    <xf numFmtId="0" fontId="9" fillId="3" borderId="4" xfId="2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1" fontId="0" fillId="4" borderId="2" xfId="0" applyNumberFormat="1" applyFill="1" applyBorder="1" applyAlignment="1" applyProtection="1">
      <alignment horizontal="center" vertical="center"/>
      <protection locked="0"/>
    </xf>
    <xf numFmtId="0" fontId="0" fillId="0" borderId="0" xfId="4" applyFont="1" applyFill="1" applyAlignment="1" applyProtection="1">
      <alignment horizontal="left" vertical="center" wrapText="1"/>
      <protection locked="0"/>
    </xf>
    <xf numFmtId="44" fontId="0" fillId="0" borderId="4" xfId="4" applyNumberFormat="1" applyFont="1" applyFill="1" applyBorder="1" applyAlignment="1" applyProtection="1">
      <alignment horizontal="center" vertical="center"/>
      <protection locked="0"/>
    </xf>
    <xf numFmtId="0" fontId="0" fillId="0" borderId="4" xfId="4" applyFont="1" applyFill="1" applyBorder="1" applyAlignment="1" applyProtection="1">
      <alignment horizontal="center" vertical="center"/>
      <protection locked="0"/>
    </xf>
    <xf numFmtId="0" fontId="0" fillId="0" borderId="4" xfId="4" applyFont="1" applyFill="1" applyBorder="1" applyAlignment="1" applyProtection="1">
      <alignment horizontal="left" vertical="center"/>
      <protection locked="0"/>
    </xf>
    <xf numFmtId="1" fontId="0" fillId="0" borderId="4" xfId="4" applyNumberFormat="1" applyFont="1" applyFill="1" applyBorder="1" applyAlignment="1" applyProtection="1">
      <alignment horizontal="center" vertical="center"/>
      <protection locked="0"/>
    </xf>
    <xf numFmtId="0" fontId="0" fillId="0" borderId="0" xfId="3" applyFont="1" applyFill="1" applyAlignment="1" applyProtection="1">
      <alignment horizontal="left" vertical="center" wrapText="1"/>
      <protection locked="0"/>
    </xf>
    <xf numFmtId="44" fontId="0" fillId="0" borderId="4" xfId="3" applyNumberFormat="1" applyFont="1" applyFill="1" applyBorder="1" applyAlignment="1" applyProtection="1">
      <alignment horizontal="center" vertical="center"/>
      <protection locked="0"/>
    </xf>
    <xf numFmtId="0" fontId="0" fillId="0" borderId="4" xfId="3" applyFont="1" applyFill="1" applyBorder="1" applyAlignment="1" applyProtection="1">
      <alignment horizontal="center" vertical="center"/>
      <protection locked="0"/>
    </xf>
    <xf numFmtId="0" fontId="0" fillId="0" borderId="4" xfId="3" applyFont="1" applyFill="1" applyBorder="1" applyAlignment="1" applyProtection="1">
      <alignment horizontal="left" vertical="center"/>
      <protection locked="0"/>
    </xf>
    <xf numFmtId="1" fontId="0" fillId="0" borderId="4" xfId="3" applyNumberFormat="1" applyFont="1" applyFill="1" applyBorder="1" applyAlignment="1" applyProtection="1">
      <alignment horizontal="center" vertical="center"/>
      <protection locked="0"/>
    </xf>
    <xf numFmtId="0" fontId="9" fillId="0" borderId="4" xfId="2" applyFont="1" applyFill="1" applyBorder="1" applyAlignment="1" applyProtection="1">
      <alignment horizontal="center" vertical="center"/>
      <protection locked="0"/>
    </xf>
    <xf numFmtId="0" fontId="5" fillId="5" borderId="15" xfId="0" applyFont="1" applyFill="1" applyBorder="1" applyAlignment="1">
      <alignment horizontal="center" vertical="center"/>
    </xf>
    <xf numFmtId="0" fontId="9" fillId="0" borderId="4" xfId="0" applyFont="1" applyBorder="1" applyProtection="1">
      <protection locked="0"/>
    </xf>
    <xf numFmtId="164" fontId="0" fillId="0" borderId="0" xfId="0" applyNumberFormat="1"/>
    <xf numFmtId="0" fontId="6" fillId="0" borderId="0" xfId="2"/>
    <xf numFmtId="0" fontId="6" fillId="0" borderId="4" xfId="2" applyFill="1" applyBorder="1" applyAlignment="1" applyProtection="1">
      <alignment horizontal="left" vertical="center" wrapText="1"/>
      <protection locked="0"/>
    </xf>
    <xf numFmtId="0" fontId="0" fillId="3" borderId="20" xfId="0" applyFill="1" applyBorder="1" applyAlignment="1" applyProtection="1">
      <alignment horizontal="center" vertical="center"/>
      <protection locked="0"/>
    </xf>
    <xf numFmtId="0" fontId="0" fillId="3" borderId="21" xfId="0" applyFill="1" applyBorder="1" applyAlignment="1" applyProtection="1">
      <alignment horizontal="center" vertical="center"/>
      <protection locked="0"/>
    </xf>
    <xf numFmtId="0" fontId="0" fillId="3" borderId="22" xfId="0" applyFill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right" vertical="center"/>
      <protection locked="0"/>
    </xf>
  </cellXfs>
  <cellStyles count="5">
    <cellStyle name="Bad" xfId="4" builtinId="27"/>
    <cellStyle name="Check Cell" xfId="1" builtinId="23"/>
    <cellStyle name="Good" xfId="3" builtinId="26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gus.com/product/xiros_radial_B180_GL_B180?artnr=B6801B3G" TargetMode="External"/><Relationship Id="rId3" Type="http://schemas.openxmlformats.org/officeDocument/2006/relationships/hyperlink" Target="https://a.co/d/8E9aowK" TargetMode="External"/><Relationship Id="rId7" Type="http://schemas.openxmlformats.org/officeDocument/2006/relationships/hyperlink" Target="https://a.co/d/azo8EIc" TargetMode="External"/><Relationship Id="rId2" Type="http://schemas.openxmlformats.org/officeDocument/2006/relationships/hyperlink" Target="https://onlinemetalsupply.com/2-5-x-5-x-8-6061-t651-aluminum-plate/" TargetMode="External"/><Relationship Id="rId1" Type="http://schemas.openxmlformats.org/officeDocument/2006/relationships/hyperlink" Target="https://shop.iflight.com/gimbal-motors-cat44/ipower-gbm4008h-50t-gimbal-motor-stainless-steel-hollow-shaft-pro175" TargetMode="External"/><Relationship Id="rId6" Type="http://schemas.openxmlformats.org/officeDocument/2006/relationships/hyperlink" Target="https://a.co/d/3r84kyq" TargetMode="External"/><Relationship Id="rId5" Type="http://schemas.openxmlformats.org/officeDocument/2006/relationships/hyperlink" Target="https://a.co/d/3TOaRBO" TargetMode="External"/><Relationship Id="rId4" Type="http://schemas.openxmlformats.org/officeDocument/2006/relationships/hyperlink" Target="https://a.co/d/iAWOZ0S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3"/>
  <sheetViews>
    <sheetView tabSelected="1" topLeftCell="B1" zoomScale="115" zoomScaleNormal="115" workbookViewId="0">
      <pane ySplit="5" topLeftCell="B6" activePane="bottomLeft" state="frozen"/>
      <selection pane="bottomLeft" activeCell="D10" sqref="D10"/>
      <selection activeCell="B1" sqref="B1"/>
    </sheetView>
  </sheetViews>
  <sheetFormatPr defaultColWidth="8.85546875" defaultRowHeight="15"/>
  <cols>
    <col min="1" max="1" width="16.7109375" style="1" hidden="1" customWidth="1"/>
    <col min="2" max="2" width="1.28515625" style="1" customWidth="1"/>
    <col min="3" max="3" width="36.28515625" style="2" customWidth="1"/>
    <col min="4" max="4" width="10.28515625" style="3" customWidth="1"/>
    <col min="5" max="5" width="18" style="1" customWidth="1"/>
    <col min="6" max="6" width="32.140625" style="4" customWidth="1"/>
    <col min="7" max="8" width="12.140625" style="5" customWidth="1"/>
    <col min="9" max="9" width="48.28515625" style="1" customWidth="1"/>
    <col min="10" max="10" width="13" style="1" customWidth="1"/>
    <col min="11" max="16384" width="8.85546875" style="1"/>
  </cols>
  <sheetData>
    <row r="1" spans="1:10" ht="9.6" customHeight="1"/>
    <row r="2" spans="1:10" ht="20.100000000000001" customHeight="1">
      <c r="A2" s="1" t="e">
        <f>#REF!</f>
        <v>#REF!</v>
      </c>
      <c r="C2" s="6" t="s">
        <v>0</v>
      </c>
      <c r="D2" s="65" t="s">
        <v>1</v>
      </c>
      <c r="E2" s="66"/>
      <c r="F2" s="67"/>
      <c r="H2" s="7" t="s">
        <v>2</v>
      </c>
      <c r="I2" s="9" t="s">
        <v>3</v>
      </c>
      <c r="J2" s="33" t="s">
        <v>4</v>
      </c>
    </row>
    <row r="3" spans="1:10" ht="20.100000000000001" customHeight="1">
      <c r="A3" s="1" t="str">
        <f t="shared" ref="A3" si="0">D3</f>
        <v>ben.sherman@utahtech.edu, trace.shafer@utahtech.edu</v>
      </c>
      <c r="C3" s="6" t="s">
        <v>5</v>
      </c>
      <c r="D3" s="65" t="s">
        <v>6</v>
      </c>
      <c r="E3" s="66"/>
      <c r="F3" s="67"/>
      <c r="H3" s="8">
        <f>SUM(H6:H53)</f>
        <v>323.04999999999995</v>
      </c>
      <c r="I3" s="10" t="s">
        <v>7</v>
      </c>
      <c r="J3" s="60" t="s">
        <v>8</v>
      </c>
    </row>
    <row r="4" spans="1:10" s="11" customFormat="1" ht="13.7" customHeight="1"/>
    <row r="5" spans="1:10" ht="43.5" customHeight="1">
      <c r="C5" s="47" t="s">
        <v>9</v>
      </c>
      <c r="D5" s="32" t="s">
        <v>10</v>
      </c>
      <c r="E5" s="47" t="s">
        <v>11</v>
      </c>
      <c r="F5" s="47" t="s">
        <v>12</v>
      </c>
      <c r="G5" s="48" t="s">
        <v>13</v>
      </c>
      <c r="H5" s="7" t="s">
        <v>14</v>
      </c>
      <c r="I5" s="12" t="s">
        <v>15</v>
      </c>
      <c r="J5" s="34" t="s">
        <v>16</v>
      </c>
    </row>
    <row r="6" spans="1:10" ht="20.100000000000001" customHeight="1">
      <c r="B6" s="13"/>
      <c r="C6" t="s">
        <v>17</v>
      </c>
      <c r="D6" s="62">
        <v>25.99</v>
      </c>
      <c r="E6" s="51" t="s">
        <v>18</v>
      </c>
      <c r="F6" s="63" t="s">
        <v>19</v>
      </c>
      <c r="G6">
        <v>1</v>
      </c>
      <c r="H6" s="43">
        <f t="shared" ref="H6:H19" si="1">IF(OR(G6="",D6=""),"",D6*G6)</f>
        <v>25.99</v>
      </c>
      <c r="I6" s="31"/>
      <c r="J6" s="35"/>
    </row>
    <row r="7" spans="1:10" ht="20.100000000000001" customHeight="1">
      <c r="B7" s="13"/>
      <c r="C7" t="s">
        <v>20</v>
      </c>
      <c r="D7" s="62">
        <v>89.99</v>
      </c>
      <c r="E7" s="51" t="s">
        <v>18</v>
      </c>
      <c r="F7" s="63" t="s">
        <v>21</v>
      </c>
      <c r="G7">
        <v>1</v>
      </c>
      <c r="H7" s="43">
        <f t="shared" si="1"/>
        <v>89.99</v>
      </c>
      <c r="I7" s="31"/>
      <c r="J7" s="35"/>
    </row>
    <row r="8" spans="1:10" ht="20.100000000000001" customHeight="1">
      <c r="B8" s="13"/>
      <c r="C8" t="s">
        <v>22</v>
      </c>
      <c r="D8" s="62">
        <v>46.5</v>
      </c>
      <c r="E8" s="41" t="s">
        <v>23</v>
      </c>
      <c r="F8" s="63" t="s">
        <v>24</v>
      </c>
      <c r="G8">
        <v>1</v>
      </c>
      <c r="H8" s="39">
        <f t="shared" si="1"/>
        <v>46.5</v>
      </c>
      <c r="I8" s="30"/>
      <c r="J8" s="35"/>
    </row>
    <row r="9" spans="1:10" ht="20.100000000000001" customHeight="1">
      <c r="B9" s="13"/>
      <c r="C9" t="s">
        <v>25</v>
      </c>
      <c r="D9" s="62">
        <v>3.27</v>
      </c>
      <c r="E9" s="51" t="s">
        <v>26</v>
      </c>
      <c r="F9" s="63" t="s">
        <v>27</v>
      </c>
      <c r="G9">
        <v>10</v>
      </c>
      <c r="H9" s="43">
        <f t="shared" si="1"/>
        <v>32.700000000000003</v>
      </c>
      <c r="I9" s="31"/>
      <c r="J9" s="35"/>
    </row>
    <row r="10" spans="1:10" ht="20.100000000000001" customHeight="1">
      <c r="B10" s="13"/>
      <c r="C10" t="s">
        <v>28</v>
      </c>
      <c r="D10" s="62">
        <v>25</v>
      </c>
      <c r="E10" s="56" t="s">
        <v>29</v>
      </c>
      <c r="F10" s="63" t="s">
        <v>30</v>
      </c>
      <c r="G10">
        <v>4</v>
      </c>
      <c r="H10" s="44">
        <f t="shared" si="1"/>
        <v>100</v>
      </c>
      <c r="I10" s="30"/>
      <c r="J10" s="36"/>
    </row>
    <row r="11" spans="1:10" ht="20.100000000000001" customHeight="1">
      <c r="B11" s="13"/>
      <c r="C11" t="s">
        <v>31</v>
      </c>
      <c r="D11" s="62">
        <v>3.59</v>
      </c>
      <c r="E11" s="41" t="s">
        <v>18</v>
      </c>
      <c r="F11" s="63" t="s">
        <v>32</v>
      </c>
      <c r="G11">
        <v>1</v>
      </c>
      <c r="H11" s="39">
        <f t="shared" si="1"/>
        <v>3.59</v>
      </c>
      <c r="I11" s="30"/>
      <c r="J11" s="35"/>
    </row>
    <row r="12" spans="1:10" ht="20.100000000000001" customHeight="1">
      <c r="B12" s="13"/>
      <c r="C12" t="s">
        <v>33</v>
      </c>
      <c r="D12" s="62">
        <v>14.39</v>
      </c>
      <c r="E12" s="41" t="s">
        <v>18</v>
      </c>
      <c r="F12" s="63" t="s">
        <v>34</v>
      </c>
      <c r="G12">
        <v>1</v>
      </c>
      <c r="H12" s="39">
        <f t="shared" si="1"/>
        <v>14.39</v>
      </c>
      <c r="I12" s="30"/>
      <c r="J12" s="35"/>
    </row>
    <row r="13" spans="1:10" ht="20.100000000000001" customHeight="1">
      <c r="B13" s="13"/>
      <c r="C13" s="28" t="s">
        <v>35</v>
      </c>
      <c r="D13" s="40">
        <v>9.89</v>
      </c>
      <c r="E13" s="41" t="s">
        <v>18</v>
      </c>
      <c r="F13" s="64" t="s">
        <v>36</v>
      </c>
      <c r="G13" s="68">
        <v>1</v>
      </c>
      <c r="H13" s="39">
        <f t="shared" si="1"/>
        <v>9.89</v>
      </c>
      <c r="I13" s="30"/>
      <c r="J13" s="35"/>
    </row>
    <row r="14" spans="1:10" ht="20.100000000000001" customHeight="1">
      <c r="B14" s="13"/>
      <c r="C14" s="28"/>
      <c r="D14" s="40"/>
      <c r="E14" s="41"/>
      <c r="F14" s="45"/>
      <c r="G14" s="42" t="s">
        <v>37</v>
      </c>
      <c r="H14" s="39" t="str">
        <f t="shared" si="1"/>
        <v/>
      </c>
      <c r="I14" s="30"/>
      <c r="J14" s="35"/>
    </row>
    <row r="15" spans="1:10" ht="20.100000000000001" customHeight="1">
      <c r="B15" s="13"/>
      <c r="C15" s="28"/>
      <c r="D15" s="40"/>
      <c r="E15" s="41"/>
      <c r="F15" s="61"/>
      <c r="G15" s="42"/>
      <c r="H15" s="39"/>
      <c r="I15" s="29"/>
      <c r="J15" s="36"/>
    </row>
    <row r="16" spans="1:10" ht="20.100000000000001" customHeight="1">
      <c r="B16" s="13"/>
      <c r="C16" s="49"/>
      <c r="D16" s="50"/>
      <c r="E16" s="51"/>
      <c r="F16" s="52"/>
      <c r="G16" s="53"/>
      <c r="H16" s="43" t="str">
        <f t="shared" si="1"/>
        <v/>
      </c>
      <c r="I16" s="31"/>
      <c r="J16" s="37"/>
    </row>
    <row r="17" spans="2:10" ht="20.100000000000001" customHeight="1">
      <c r="B17" s="13"/>
      <c r="C17" s="28"/>
      <c r="D17" s="40"/>
      <c r="E17" s="41"/>
      <c r="F17" s="45"/>
      <c r="G17" s="42"/>
      <c r="H17" s="39" t="str">
        <f t="shared" si="1"/>
        <v/>
      </c>
      <c r="I17" s="30"/>
      <c r="J17" s="35"/>
    </row>
    <row r="18" spans="2:10" ht="20.100000000000001" customHeight="1">
      <c r="B18" s="13"/>
      <c r="C18" s="49"/>
      <c r="D18" s="50"/>
      <c r="E18" s="51"/>
      <c r="F18" s="52"/>
      <c r="G18" s="53"/>
      <c r="H18" s="43" t="str">
        <f t="shared" si="1"/>
        <v/>
      </c>
      <c r="I18" s="31"/>
      <c r="J18" s="35"/>
    </row>
    <row r="19" spans="2:10" ht="20.100000000000001" customHeight="1">
      <c r="B19" s="13"/>
      <c r="C19" s="49"/>
      <c r="D19" s="50"/>
      <c r="E19" s="51"/>
      <c r="F19" s="52"/>
      <c r="G19" s="53"/>
      <c r="H19" s="43" t="str">
        <f t="shared" si="1"/>
        <v/>
      </c>
      <c r="I19" s="31"/>
      <c r="J19" s="35"/>
    </row>
    <row r="20" spans="2:10" ht="20.100000000000001" customHeight="1">
      <c r="B20" s="13"/>
      <c r="C20" s="28"/>
      <c r="D20" s="40"/>
      <c r="E20" s="41"/>
      <c r="F20" s="45"/>
      <c r="G20" s="42"/>
      <c r="H20" s="39" t="str">
        <f t="shared" ref="H20:H53" si="2">IF(OR(G20="",D20=""),"",D20*G20)</f>
        <v/>
      </c>
      <c r="I20" s="30"/>
      <c r="J20" s="33"/>
    </row>
    <row r="21" spans="2:10" ht="20.100000000000001" customHeight="1">
      <c r="B21" s="13"/>
      <c r="C21" s="28"/>
      <c r="D21" s="40"/>
      <c r="E21" s="41"/>
      <c r="F21" s="45"/>
      <c r="G21" s="42"/>
      <c r="H21" s="39" t="str">
        <f t="shared" si="2"/>
        <v/>
      </c>
      <c r="I21" s="30"/>
      <c r="J21" s="36"/>
    </row>
    <row r="22" spans="2:10" ht="20.100000000000001" customHeight="1">
      <c r="B22" s="13"/>
      <c r="C22" s="28"/>
      <c r="D22" s="40"/>
      <c r="E22" s="41"/>
      <c r="F22" s="45"/>
      <c r="G22" s="42"/>
      <c r="H22" s="39"/>
      <c r="I22" s="14"/>
      <c r="J22" s="36"/>
    </row>
    <row r="23" spans="2:10" ht="20.100000000000001" customHeight="1">
      <c r="B23" s="13"/>
      <c r="C23" s="28"/>
      <c r="D23" s="40"/>
      <c r="E23" s="41"/>
      <c r="F23" s="45"/>
      <c r="G23" s="42"/>
      <c r="H23" s="39" t="str">
        <f t="shared" si="2"/>
        <v/>
      </c>
      <c r="I23" s="30"/>
      <c r="J23" s="35"/>
    </row>
    <row r="24" spans="2:10" ht="20.100000000000001" customHeight="1">
      <c r="B24" s="13"/>
      <c r="C24" s="54"/>
      <c r="D24" s="55"/>
      <c r="E24" s="56"/>
      <c r="F24" s="57"/>
      <c r="G24" s="58"/>
      <c r="H24" s="44" t="str">
        <f>IF(OR(G24="",D24=""),"",D24*G24)</f>
        <v/>
      </c>
      <c r="I24" s="30"/>
      <c r="J24" s="35"/>
    </row>
    <row r="25" spans="2:10" ht="20.100000000000001" customHeight="1">
      <c r="B25" s="13"/>
      <c r="C25" s="28"/>
      <c r="D25" s="40"/>
      <c r="E25" s="41"/>
      <c r="F25" s="45"/>
      <c r="G25" s="42"/>
      <c r="H25" s="39" t="str">
        <f t="shared" si="2"/>
        <v/>
      </c>
      <c r="I25" s="30"/>
      <c r="J25" s="35"/>
    </row>
    <row r="26" spans="2:10" ht="20.100000000000001" customHeight="1">
      <c r="B26" s="13"/>
      <c r="C26" s="28"/>
      <c r="D26" s="40"/>
      <c r="E26" s="41"/>
      <c r="F26" s="45"/>
      <c r="G26" s="42"/>
      <c r="H26" s="39" t="str">
        <f t="shared" si="2"/>
        <v/>
      </c>
      <c r="I26" s="30"/>
      <c r="J26" s="35"/>
    </row>
    <row r="27" spans="2:10" ht="20.100000000000001" customHeight="1">
      <c r="B27" s="13"/>
      <c r="C27" s="28"/>
      <c r="D27" s="40"/>
      <c r="E27" s="41"/>
      <c r="F27" s="45"/>
      <c r="G27" s="42"/>
      <c r="H27" s="39" t="str">
        <f t="shared" si="2"/>
        <v/>
      </c>
      <c r="I27" s="30"/>
      <c r="J27" s="35"/>
    </row>
    <row r="28" spans="2:10" ht="20.100000000000001" customHeight="1">
      <c r="B28" s="13"/>
      <c r="C28" s="54"/>
      <c r="D28" s="55"/>
      <c r="E28" s="56"/>
      <c r="F28" s="57"/>
      <c r="G28" s="58"/>
      <c r="H28" s="44" t="str">
        <f t="shared" si="2"/>
        <v/>
      </c>
      <c r="I28" s="30"/>
      <c r="J28" s="37"/>
    </row>
    <row r="29" spans="2:10" ht="20.100000000000001" customHeight="1">
      <c r="B29" s="13"/>
      <c r="C29" s="28"/>
      <c r="D29" s="40"/>
      <c r="E29" s="41"/>
      <c r="F29" s="45"/>
      <c r="G29" s="42"/>
      <c r="H29" s="39"/>
      <c r="I29" s="14"/>
      <c r="J29" s="36"/>
    </row>
    <row r="30" spans="2:10" ht="20.100000000000001" customHeight="1">
      <c r="B30" s="13"/>
      <c r="C30" s="28"/>
      <c r="D30" s="40"/>
      <c r="E30" s="41"/>
      <c r="F30" s="45"/>
      <c r="G30" s="42"/>
      <c r="H30" s="39" t="str">
        <f t="shared" si="2"/>
        <v/>
      </c>
      <c r="I30" s="30"/>
      <c r="J30" s="36"/>
    </row>
    <row r="31" spans="2:10" ht="20.100000000000001" customHeight="1">
      <c r="B31" s="13"/>
      <c r="C31" s="54"/>
      <c r="D31" s="55"/>
      <c r="E31" s="56"/>
      <c r="F31" s="57"/>
      <c r="G31" s="58"/>
      <c r="H31" s="44" t="str">
        <f>IF(OR(G31="",D31=""),"",D31*G31)</f>
        <v/>
      </c>
      <c r="I31" s="30"/>
      <c r="J31" s="36"/>
    </row>
    <row r="32" spans="2:10" ht="20.100000000000001" customHeight="1">
      <c r="B32" s="13"/>
      <c r="C32" s="28"/>
      <c r="D32" s="40"/>
      <c r="E32" s="41"/>
      <c r="F32" s="45"/>
      <c r="G32" s="42"/>
      <c r="H32" s="39" t="str">
        <f t="shared" si="2"/>
        <v/>
      </c>
      <c r="I32" s="30"/>
      <c r="J32" s="36"/>
    </row>
    <row r="33" spans="2:10" ht="20.100000000000001" customHeight="1">
      <c r="B33" s="13"/>
      <c r="C33" s="28"/>
      <c r="D33" s="40"/>
      <c r="E33" s="41"/>
      <c r="F33" s="45"/>
      <c r="G33" s="42"/>
      <c r="H33" s="39" t="str">
        <f t="shared" si="2"/>
        <v/>
      </c>
      <c r="I33" s="30"/>
      <c r="J33" s="36"/>
    </row>
    <row r="34" spans="2:10" ht="20.100000000000001" customHeight="1">
      <c r="B34" s="13"/>
      <c r="C34" s="49"/>
      <c r="D34" s="50"/>
      <c r="E34" s="51"/>
      <c r="F34" s="52"/>
      <c r="G34" s="53"/>
      <c r="H34" s="43" t="str">
        <f t="shared" si="2"/>
        <v/>
      </c>
      <c r="I34" s="31"/>
      <c r="J34" s="36"/>
    </row>
    <row r="35" spans="2:10" ht="20.100000000000001" customHeight="1">
      <c r="B35" s="13"/>
      <c r="C35" s="28"/>
      <c r="D35" s="40"/>
      <c r="E35" s="41"/>
      <c r="F35" s="45"/>
      <c r="G35" s="42"/>
      <c r="H35" s="39"/>
      <c r="I35" s="29"/>
      <c r="J35" s="36"/>
    </row>
    <row r="36" spans="2:10" ht="20.100000000000001" customHeight="1">
      <c r="B36" s="13"/>
      <c r="C36" s="28"/>
      <c r="D36" s="40"/>
      <c r="E36" s="41"/>
      <c r="F36" s="45"/>
      <c r="G36" s="42"/>
      <c r="H36" s="39" t="str">
        <f t="shared" si="2"/>
        <v/>
      </c>
      <c r="I36" s="30"/>
      <c r="J36" s="36"/>
    </row>
    <row r="37" spans="2:10" ht="20.100000000000001" customHeight="1">
      <c r="B37" s="13"/>
      <c r="C37" s="28"/>
      <c r="D37" s="40"/>
      <c r="E37" s="41"/>
      <c r="F37" s="61"/>
      <c r="G37" s="42"/>
      <c r="H37" s="39" t="str">
        <f t="shared" si="2"/>
        <v/>
      </c>
      <c r="I37" s="30"/>
      <c r="J37" s="36"/>
    </row>
    <row r="38" spans="2:10" ht="20.100000000000001" customHeight="1">
      <c r="B38" s="13"/>
      <c r="C38" s="28"/>
      <c r="D38" s="40"/>
      <c r="E38" s="41"/>
      <c r="F38" s="61"/>
      <c r="G38" s="42"/>
      <c r="H38" s="39" t="str">
        <f t="shared" si="2"/>
        <v/>
      </c>
      <c r="I38" s="30"/>
      <c r="J38" s="36"/>
    </row>
    <row r="39" spans="2:10" ht="20.100000000000001" customHeight="1">
      <c r="B39" s="13"/>
      <c r="C39" s="28"/>
      <c r="D39" s="40"/>
      <c r="E39" s="41"/>
      <c r="F39" s="45"/>
      <c r="G39" s="42"/>
      <c r="H39" s="39" t="str">
        <f t="shared" ref="H39:H44" si="3">IF(OR(G39="",D39=""),"",D39*G39)</f>
        <v/>
      </c>
      <c r="I39" s="30"/>
      <c r="J39" s="36"/>
    </row>
    <row r="40" spans="2:10" ht="20.100000000000001" customHeight="1">
      <c r="B40" s="13"/>
      <c r="C40" s="28"/>
      <c r="D40" s="40"/>
      <c r="E40" s="41"/>
      <c r="F40" s="45"/>
      <c r="G40" s="42"/>
      <c r="H40" s="39" t="str">
        <f t="shared" si="3"/>
        <v/>
      </c>
      <c r="I40" s="14"/>
      <c r="J40" s="36"/>
    </row>
    <row r="41" spans="2:10" ht="20.100000000000001" customHeight="1">
      <c r="B41" s="13"/>
      <c r="C41" s="28"/>
      <c r="D41" s="40"/>
      <c r="E41" s="41"/>
      <c r="F41" s="45"/>
      <c r="G41" s="42"/>
      <c r="H41" s="39" t="str">
        <f t="shared" si="3"/>
        <v/>
      </c>
      <c r="I41" s="30"/>
      <c r="J41" s="36"/>
    </row>
    <row r="42" spans="2:10" ht="20.100000000000001" customHeight="1">
      <c r="B42" s="13"/>
      <c r="C42" s="28"/>
      <c r="D42" s="40"/>
      <c r="E42" s="41"/>
      <c r="F42" s="59"/>
      <c r="G42" s="42"/>
      <c r="H42" s="39" t="str">
        <f t="shared" si="3"/>
        <v/>
      </c>
      <c r="I42" s="30"/>
      <c r="J42" s="36"/>
    </row>
    <row r="43" spans="2:10" ht="20.100000000000001" customHeight="1">
      <c r="B43" s="13"/>
      <c r="C43" s="28"/>
      <c r="D43" s="40"/>
      <c r="E43" s="41"/>
      <c r="F43" s="45"/>
      <c r="G43" s="42"/>
      <c r="H43" s="39" t="str">
        <f t="shared" si="3"/>
        <v/>
      </c>
      <c r="I43" s="30"/>
      <c r="J43" s="36"/>
    </row>
    <row r="44" spans="2:10" ht="20.100000000000001" customHeight="1">
      <c r="B44" s="13"/>
      <c r="C44" s="28"/>
      <c r="D44" s="40"/>
      <c r="E44" s="41"/>
      <c r="F44" s="61"/>
      <c r="G44" s="42"/>
      <c r="H44" s="39" t="str">
        <f t="shared" si="3"/>
        <v/>
      </c>
      <c r="I44" s="30"/>
      <c r="J44" s="36"/>
    </row>
    <row r="45" spans="2:10" ht="20.100000000000001" customHeight="1">
      <c r="B45" s="13"/>
      <c r="C45" s="28"/>
      <c r="D45" s="16"/>
      <c r="E45" s="17"/>
      <c r="F45" s="46"/>
      <c r="G45" s="18"/>
      <c r="H45" s="19" t="str">
        <f t="shared" si="2"/>
        <v/>
      </c>
      <c r="I45" s="14"/>
      <c r="J45" s="36"/>
    </row>
    <row r="46" spans="2:10" ht="20.100000000000001" customHeight="1">
      <c r="B46" s="13"/>
      <c r="C46" s="28"/>
      <c r="D46" s="16"/>
      <c r="E46" s="17"/>
      <c r="F46" s="21"/>
      <c r="G46" s="18"/>
      <c r="H46" s="19" t="str">
        <f t="shared" si="2"/>
        <v/>
      </c>
      <c r="I46" s="14"/>
      <c r="J46" s="36"/>
    </row>
    <row r="47" spans="2:10" ht="20.100000000000001" customHeight="1">
      <c r="B47" s="13"/>
      <c r="C47" s="28"/>
      <c r="D47" s="16"/>
      <c r="E47" s="17"/>
      <c r="F47" s="21"/>
      <c r="G47" s="18"/>
      <c r="H47" s="19" t="str">
        <f t="shared" si="2"/>
        <v/>
      </c>
      <c r="I47" s="14"/>
      <c r="J47" s="36"/>
    </row>
    <row r="48" spans="2:10" ht="20.100000000000001" customHeight="1">
      <c r="B48" s="13"/>
      <c r="C48" s="28"/>
      <c r="D48" s="16"/>
      <c r="E48" s="17"/>
      <c r="F48" s="21"/>
      <c r="G48" s="18"/>
      <c r="H48" s="19" t="str">
        <f t="shared" si="2"/>
        <v/>
      </c>
      <c r="I48" s="14"/>
      <c r="J48" s="36"/>
    </row>
    <row r="49" spans="2:10" ht="20.100000000000001" customHeight="1">
      <c r="B49" s="13"/>
      <c r="C49" s="28"/>
      <c r="D49" s="16"/>
      <c r="E49" s="17"/>
      <c r="F49" s="21"/>
      <c r="G49" s="18"/>
      <c r="H49" s="19" t="str">
        <f t="shared" si="2"/>
        <v/>
      </c>
      <c r="I49" s="14"/>
      <c r="J49" s="36"/>
    </row>
    <row r="50" spans="2:10" ht="20.100000000000001" customHeight="1">
      <c r="B50" s="13"/>
      <c r="C50" s="20"/>
      <c r="D50" s="16"/>
      <c r="E50" s="17"/>
      <c r="F50" s="21"/>
      <c r="G50" s="18"/>
      <c r="H50" s="19" t="str">
        <f t="shared" si="2"/>
        <v/>
      </c>
      <c r="I50" s="14"/>
      <c r="J50" s="36"/>
    </row>
    <row r="51" spans="2:10" ht="20.100000000000001" customHeight="1">
      <c r="B51" s="13"/>
      <c r="C51" s="20"/>
      <c r="D51" s="16"/>
      <c r="E51" s="17"/>
      <c r="F51" s="21"/>
      <c r="G51" s="18"/>
      <c r="H51" s="19" t="str">
        <f t="shared" si="2"/>
        <v/>
      </c>
      <c r="I51" s="14"/>
      <c r="J51" s="36"/>
    </row>
    <row r="52" spans="2:10" ht="20.100000000000001" customHeight="1">
      <c r="B52" s="13"/>
      <c r="C52" s="20"/>
      <c r="D52" s="16"/>
      <c r="E52" s="17"/>
      <c r="F52" s="21"/>
      <c r="G52" s="18"/>
      <c r="H52" s="19" t="str">
        <f t="shared" si="2"/>
        <v/>
      </c>
      <c r="I52" s="14"/>
      <c r="J52" s="36"/>
    </row>
    <row r="53" spans="2:10" ht="20.100000000000001" customHeight="1">
      <c r="B53" s="13"/>
      <c r="C53" s="22"/>
      <c r="D53" s="23"/>
      <c r="E53" s="24"/>
      <c r="F53" s="25"/>
      <c r="G53" s="26"/>
      <c r="H53" s="27" t="str">
        <f t="shared" si="2"/>
        <v/>
      </c>
      <c r="I53" s="15"/>
      <c r="J53" s="38"/>
    </row>
  </sheetData>
  <mergeCells count="2">
    <mergeCell ref="D2:F2"/>
    <mergeCell ref="D3:F3"/>
  </mergeCells>
  <hyperlinks>
    <hyperlink ref="F10" r:id="rId1" xr:uid="{9FC9548D-15E1-468E-9B52-6B8015A4C436}"/>
    <hyperlink ref="F8" r:id="rId2" xr:uid="{B5870C30-DAA8-4D3B-B934-B6C45FD1E791}"/>
    <hyperlink ref="F7" r:id="rId3" xr:uid="{FDC469F5-C41D-43EA-A785-B623D78ED3AD}"/>
    <hyperlink ref="F11" r:id="rId4" xr:uid="{736B8CD9-F44F-4D72-B379-274B3520A995}"/>
    <hyperlink ref="F12" r:id="rId5" xr:uid="{A2D76B6B-355C-4B89-92BD-9325CC9E2783}"/>
    <hyperlink ref="F13" r:id="rId6" xr:uid="{3ACC4D69-D8EF-4110-B338-8797C53C5055}"/>
    <hyperlink ref="F6" r:id="rId7" xr:uid="{2A79A6BA-7A5D-459C-8FF8-7CB4B09221EB}"/>
    <hyperlink ref="F9" r:id="rId8" xr:uid="{F09F800C-B16C-4D24-90A8-1AF2B7513522}"/>
  </hyperlinks>
  <pageMargins left="0.7" right="0.7" top="0.75" bottom="0.75" header="0.3" footer="0.3"/>
  <pageSetup orientation="portrait" horizontalDpi="4294967293" verticalDpi="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6F3C5D-E14B-4978-A7B5-C352D2B3DD42}"/>
</file>

<file path=customXml/itemProps2.xml><?xml version="1.0" encoding="utf-8"?>
<ds:datastoreItem xmlns:ds="http://schemas.openxmlformats.org/officeDocument/2006/customXml" ds:itemID="{68FA3F00-6D40-468C-9E4A-3ACF072BE5BD}"/>
</file>

<file path=customXml/itemProps3.xml><?xml version="1.0" encoding="utf-8"?>
<ds:datastoreItem xmlns:ds="http://schemas.openxmlformats.org/officeDocument/2006/customXml" ds:itemID="{CBD58BCB-C064-4B99-944B-390A8A9E9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Skeen</dc:creator>
  <cp:keywords/>
  <dc:description/>
  <cp:lastModifiedBy>Ben Sherman</cp:lastModifiedBy>
  <cp:revision/>
  <dcterms:created xsi:type="dcterms:W3CDTF">2006-09-16T00:00:00Z</dcterms:created>
  <dcterms:modified xsi:type="dcterms:W3CDTF">2024-12-09T21:01:50Z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