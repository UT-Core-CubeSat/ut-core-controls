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C:\Users\trace\Dropbox\CubeSat\CONTROL\Research\"/>
    </mc:Choice>
  </mc:AlternateContent>
  <xr:revisionPtr revIDLastSave="16" documentId="13_ncr:1_{06229664-118E-4BBC-87EA-CE082DC7C176}" xr6:coauthVersionLast="47" xr6:coauthVersionMax="47" xr10:uidLastSave="{25035BF1-201D-4923-A027-82A1DB4C40EF}"/>
  <bookViews>
    <workbookView xWindow="-120" yWindow="-120" windowWidth="29040" windowHeight="15720" firstSheet="1" activeTab="1" xr2:uid="{CDDB3F96-9412-41CC-8FB9-88E212696735}"/>
  </bookViews>
  <sheets>
    <sheet name="Sheet1" sheetId="1" r:id="rId1"/>
    <sheet name="Budg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10" i="2"/>
  <c r="D24" i="2"/>
  <c r="D29" i="2"/>
  <c r="D31" i="2"/>
  <c r="D27" i="2"/>
  <c r="D25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3" i="2"/>
  <c r="E21" i="1"/>
  <c r="E14" i="1"/>
  <c r="E13" i="1"/>
  <c r="E12" i="1"/>
  <c r="E11" i="1"/>
  <c r="E10" i="1"/>
  <c r="E9" i="1"/>
  <c r="E15" i="1"/>
  <c r="E8" i="1"/>
  <c r="E7" i="1"/>
  <c r="E6" i="1"/>
  <c r="E22" i="1"/>
  <c r="E19" i="1"/>
  <c r="E16" i="1"/>
  <c r="E4" i="1"/>
  <c r="E18" i="1"/>
  <c r="E20" i="1"/>
  <c r="E2" i="1"/>
  <c r="E3" i="1"/>
  <c r="E5" i="1"/>
  <c r="E17" i="1"/>
  <c r="F2" i="2" l="1"/>
  <c r="G2" i="1"/>
</calcChain>
</file>

<file path=xl/sharedStrings.xml><?xml version="1.0" encoding="utf-8"?>
<sst xmlns="http://schemas.openxmlformats.org/spreadsheetml/2006/main" count="72" uniqueCount="46">
  <si>
    <t>Part</t>
  </si>
  <si>
    <t>Price</t>
  </si>
  <si>
    <t>Quantity</t>
  </si>
  <si>
    <t>Website</t>
  </si>
  <si>
    <t>Total Cost</t>
  </si>
  <si>
    <t>Budget Left</t>
  </si>
  <si>
    <t>Sun Sensor Photodiode</t>
  </si>
  <si>
    <t>https://www.digikey.com/short/ww3qm99m</t>
  </si>
  <si>
    <t>Star Tracker Camera</t>
  </si>
  <si>
    <t>https://www.arducam.com/product/arducam-2mp-spi-camera-b0067-arduino/</t>
  </si>
  <si>
    <t>Star Tracker Lense</t>
  </si>
  <si>
    <t>https://a.co/d/8E9aowK</t>
  </si>
  <si>
    <t>Magnetometer</t>
  </si>
  <si>
    <t>https://www.digikey.com/short/nrzc84qq</t>
  </si>
  <si>
    <t>Control Board</t>
  </si>
  <si>
    <t>Microcontroller</t>
  </si>
  <si>
    <t>https://www.avnet.com/shop/us/products/stmicroelectronics/stm32u5a5rjt6-3074457345652205198/</t>
  </si>
  <si>
    <t>6061 Aluminum Block</t>
  </si>
  <si>
    <t>https://onlinemetalsupply.com/2-5-x-5-x-8-6061-t651-aluminum-plate/</t>
  </si>
  <si>
    <t>CAN</t>
  </si>
  <si>
    <t>LDO</t>
  </si>
  <si>
    <t>Voltage Current Observer</t>
  </si>
  <si>
    <t>12V SPS</t>
  </si>
  <si>
    <t>E Fuse</t>
  </si>
  <si>
    <t>Brushed Motor Driver</t>
  </si>
  <si>
    <t>Ceramic Bearing</t>
  </si>
  <si>
    <t>Magnetorquer Board</t>
  </si>
  <si>
    <t>DC Motor</t>
  </si>
  <si>
    <t>https://shop.iflight.com/gimbal-motors-cat44/ipower-gbm4008h-50t-gimbal-motor-stainless-steel-hollow-shaft-pro175</t>
  </si>
  <si>
    <t>Motor Driver</t>
  </si>
  <si>
    <t>https://www.digikey.com/short/44w18j29</t>
  </si>
  <si>
    <t>Hall-Effect Sensor</t>
  </si>
  <si>
    <t>IMU</t>
  </si>
  <si>
    <t>https://www.digikey.com/short/79n92bj7</t>
  </si>
  <si>
    <t>Wire/Connectors</t>
  </si>
  <si>
    <t>Tooling Cost</t>
  </si>
  <si>
    <t>Minumum Cost</t>
  </si>
  <si>
    <t>Prototype</t>
  </si>
  <si>
    <t>Flight Unit</t>
  </si>
  <si>
    <t>Contingency Cost</t>
  </si>
  <si>
    <t>Screws</t>
  </si>
  <si>
    <r>
      <rPr>
        <b/>
        <sz val="11"/>
        <color rgb="FF000000"/>
        <rFont val="Aptos Narrow"/>
        <scheme val="minor"/>
      </rPr>
      <t>Tooling</t>
    </r>
    <r>
      <rPr>
        <sz val="11"/>
        <color rgb="FF000000"/>
        <rFont val="Aptos Narrow"/>
        <scheme val="minor"/>
      </rPr>
      <t xml:space="preserve"> </t>
    </r>
  </si>
  <si>
    <t>Testing</t>
  </si>
  <si>
    <t>Additional testing</t>
  </si>
  <si>
    <t>Laser</t>
  </si>
  <si>
    <t>Fishing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</si>
</sst>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rgb="FF44444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1"/>
    <xf numFmtId="164" fontId="0" fillId="0" borderId="0" xfId="0" applyNumberFormat="1"/>
    <xf numFmtId="0" fontId="3" fillId="0" borderId="0" xfId="0" applyFont="1"/>
    <xf numFmtId="164" fontId="0" fillId="2" borderId="1" xfId="0" applyNumberFormat="1" applyFill="1" applyBorder="1"/>
    <xf numFmtId="0" fontId="4" fillId="0" borderId="2" xfId="0" applyFont="1" applyBorder="1"/>
    <xf numFmtId="0" fontId="0" fillId="0" borderId="3" xfId="0" applyBorder="1"/>
    <xf numFmtId="0" fontId="0" fillId="0" borderId="2" xfId="0" applyBorder="1"/>
    <xf numFmtId="164" fontId="0" fillId="0" borderId="3" xfId="0" applyNumberFormat="1" applyBorder="1"/>
    <xf numFmtId="0" fontId="5" fillId="0" borderId="2" xfId="0" applyFont="1" applyBorder="1"/>
    <xf numFmtId="0" fontId="0" fillId="0" borderId="4" xfId="0" applyBorder="1"/>
    <xf numFmtId="164" fontId="0" fillId="0" borderId="5" xfId="0" applyNumberFormat="1" applyBorder="1"/>
    <xf numFmtId="0" fontId="0" fillId="0" borderId="5" xfId="0" applyBorder="1"/>
    <xf numFmtId="164" fontId="0" fillId="0" borderId="6" xfId="0" applyNumberForma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6" fillId="0" borderId="0" xfId="0" applyFont="1"/>
    <xf numFmtId="0" fontId="3" fillId="0" borderId="1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.co/d/8E9aowK" TargetMode="External"/><Relationship Id="rId3" Type="http://schemas.openxmlformats.org/officeDocument/2006/relationships/hyperlink" Target="https://shop.iflight.com/gimbal-motors-cat44/ipower-gbm4008h-50t-gimbal-motor-stainless-steel-hollow-shaft-pro175" TargetMode="External"/><Relationship Id="rId7" Type="http://schemas.openxmlformats.org/officeDocument/2006/relationships/hyperlink" Target="https://onlinemetalsupply.com/2-5-x-5-x-8-6061-t651-aluminum-plate/" TargetMode="External"/><Relationship Id="rId2" Type="http://schemas.openxmlformats.org/officeDocument/2006/relationships/hyperlink" Target="https://www.digikey.com/short/79n92bj7" TargetMode="External"/><Relationship Id="rId1" Type="http://schemas.openxmlformats.org/officeDocument/2006/relationships/hyperlink" Target="https://www.digikey.com/short/nrzc84qq" TargetMode="External"/><Relationship Id="rId6" Type="http://schemas.openxmlformats.org/officeDocument/2006/relationships/hyperlink" Target="https://www.avnet.com/shop/us/products/stmicroelectronics/stm32u5a5rjt6-3074457345652205198/" TargetMode="External"/><Relationship Id="rId5" Type="http://schemas.openxmlformats.org/officeDocument/2006/relationships/hyperlink" Target="https://www.arducam.com/product/arducam-2mp-spi-camera-b0067-arduino/" TargetMode="External"/><Relationship Id="rId4" Type="http://schemas.openxmlformats.org/officeDocument/2006/relationships/hyperlink" Target="https://www.digikey.com/short/ww3qm99m" TargetMode="External"/><Relationship Id="rId9" Type="http://schemas.openxmlformats.org/officeDocument/2006/relationships/hyperlink" Target="https://www.digikey.com/short/44w18j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9F2F-4031-47C8-BE70-19CEFB671993}">
  <dimension ref="A1:G23"/>
  <sheetViews>
    <sheetView topLeftCell="A5" zoomScale="127" workbookViewId="0">
      <selection activeCell="A23" sqref="A23"/>
    </sheetView>
  </sheetViews>
  <sheetFormatPr defaultRowHeight="15"/>
  <cols>
    <col min="1" max="1" width="22.5703125" customWidth="1"/>
    <col min="2" max="2" width="15.5703125" customWidth="1"/>
    <col min="4" max="4" width="73.140625" customWidth="1"/>
    <col min="5" max="5" width="11.42578125" customWidth="1"/>
    <col min="7" max="7" width="10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4" t="s">
        <v>5</v>
      </c>
    </row>
    <row r="2" spans="1:7">
      <c r="A2" t="s">
        <v>6</v>
      </c>
      <c r="B2" s="3">
        <v>1.37</v>
      </c>
      <c r="C2">
        <v>10</v>
      </c>
      <c r="D2" s="2" t="s">
        <v>7</v>
      </c>
      <c r="E2" s="3">
        <f t="shared" ref="E2:E8" si="0">B2*C2</f>
        <v>13.700000000000001</v>
      </c>
      <c r="G2" s="3">
        <f>1500-SUM(E2:E1013)</f>
        <v>854.1400000000001</v>
      </c>
    </row>
    <row r="3" spans="1:7">
      <c r="A3" t="s">
        <v>8</v>
      </c>
      <c r="B3" s="3">
        <v>25.99</v>
      </c>
      <c r="C3">
        <v>1</v>
      </c>
      <c r="D3" s="2" t="s">
        <v>9</v>
      </c>
      <c r="E3" s="3">
        <f t="shared" si="0"/>
        <v>25.99</v>
      </c>
    </row>
    <row r="4" spans="1:7">
      <c r="A4" t="s">
        <v>10</v>
      </c>
      <c r="B4" s="3">
        <v>89.99</v>
      </c>
      <c r="C4">
        <v>1</v>
      </c>
      <c r="D4" s="2" t="s">
        <v>11</v>
      </c>
      <c r="E4" s="3">
        <f t="shared" si="0"/>
        <v>89.99</v>
      </c>
    </row>
    <row r="5" spans="1:7">
      <c r="A5" t="s">
        <v>12</v>
      </c>
      <c r="B5" s="3">
        <v>4.4000000000000004</v>
      </c>
      <c r="C5">
        <v>2</v>
      </c>
      <c r="D5" s="2" t="s">
        <v>13</v>
      </c>
      <c r="E5" s="3">
        <f t="shared" si="0"/>
        <v>8.8000000000000007</v>
      </c>
    </row>
    <row r="6" spans="1:7">
      <c r="A6" t="s">
        <v>14</v>
      </c>
      <c r="B6" s="3">
        <v>10</v>
      </c>
      <c r="C6">
        <v>1</v>
      </c>
      <c r="E6" s="3">
        <f t="shared" si="0"/>
        <v>10</v>
      </c>
    </row>
    <row r="7" spans="1:7">
      <c r="A7" t="s">
        <v>15</v>
      </c>
      <c r="B7" s="3">
        <v>8.1</v>
      </c>
      <c r="C7">
        <v>2</v>
      </c>
      <c r="D7" s="2" t="s">
        <v>16</v>
      </c>
      <c r="E7" s="3">
        <f t="shared" si="0"/>
        <v>16.2</v>
      </c>
    </row>
    <row r="8" spans="1:7">
      <c r="A8" t="s">
        <v>17</v>
      </c>
      <c r="B8" s="3">
        <v>46.5</v>
      </c>
      <c r="C8">
        <v>1</v>
      </c>
      <c r="D8" s="2" t="s">
        <v>18</v>
      </c>
      <c r="E8" s="3">
        <f t="shared" si="0"/>
        <v>46.5</v>
      </c>
    </row>
    <row r="9" spans="1:7">
      <c r="A9" t="s">
        <v>19</v>
      </c>
      <c r="B9" s="3">
        <v>1</v>
      </c>
      <c r="C9">
        <v>2</v>
      </c>
      <c r="D9" s="2"/>
      <c r="E9" s="3">
        <f t="shared" ref="E9:E14" si="1">B9*C9</f>
        <v>2</v>
      </c>
    </row>
    <row r="10" spans="1:7">
      <c r="A10" t="s">
        <v>20</v>
      </c>
      <c r="B10" s="3">
        <v>0.32</v>
      </c>
      <c r="C10">
        <v>2</v>
      </c>
      <c r="D10" s="2"/>
      <c r="E10" s="3">
        <f t="shared" si="1"/>
        <v>0.64</v>
      </c>
    </row>
    <row r="11" spans="1:7">
      <c r="A11" s="18" t="s">
        <v>21</v>
      </c>
      <c r="B11" s="3">
        <v>1</v>
      </c>
      <c r="C11">
        <v>7</v>
      </c>
      <c r="D11" s="2"/>
      <c r="E11" s="3">
        <f t="shared" si="1"/>
        <v>7</v>
      </c>
    </row>
    <row r="12" spans="1:7">
      <c r="A12" t="s">
        <v>22</v>
      </c>
      <c r="B12" s="3">
        <v>3</v>
      </c>
      <c r="C12">
        <v>4</v>
      </c>
      <c r="D12" s="2"/>
      <c r="E12" s="3">
        <f t="shared" si="1"/>
        <v>12</v>
      </c>
    </row>
    <row r="13" spans="1:7">
      <c r="A13" t="s">
        <v>23</v>
      </c>
      <c r="B13" s="3">
        <v>1</v>
      </c>
      <c r="C13">
        <v>9</v>
      </c>
      <c r="D13" s="2"/>
      <c r="E13" s="3">
        <f t="shared" si="1"/>
        <v>9</v>
      </c>
    </row>
    <row r="14" spans="1:7">
      <c r="A14" t="s">
        <v>24</v>
      </c>
      <c r="B14" s="3">
        <v>4</v>
      </c>
      <c r="C14">
        <v>5</v>
      </c>
      <c r="D14" s="2"/>
      <c r="E14" s="3">
        <f t="shared" si="1"/>
        <v>20</v>
      </c>
    </row>
    <row r="15" spans="1:7">
      <c r="A15" t="s">
        <v>25</v>
      </c>
      <c r="B15" s="3">
        <v>18</v>
      </c>
      <c r="C15">
        <v>4</v>
      </c>
      <c r="E15" s="3">
        <f>B15*C15</f>
        <v>72</v>
      </c>
    </row>
    <row r="16" spans="1:7">
      <c r="A16" t="s">
        <v>26</v>
      </c>
      <c r="B16" s="3">
        <v>0</v>
      </c>
      <c r="C16">
        <v>3</v>
      </c>
      <c r="E16" s="3">
        <f>B16*C16</f>
        <v>0</v>
      </c>
    </row>
    <row r="17" spans="1:5">
      <c r="A17" t="s">
        <v>27</v>
      </c>
      <c r="B17" s="3">
        <v>25</v>
      </c>
      <c r="C17">
        <v>4</v>
      </c>
      <c r="D17" s="2" t="s">
        <v>28</v>
      </c>
      <c r="E17" s="3">
        <f>B17*C17</f>
        <v>100</v>
      </c>
    </row>
    <row r="18" spans="1:5">
      <c r="A18" t="s">
        <v>29</v>
      </c>
      <c r="B18" s="3">
        <v>6.99</v>
      </c>
      <c r="C18">
        <v>4</v>
      </c>
      <c r="D18" s="2" t="s">
        <v>30</v>
      </c>
      <c r="E18" s="3">
        <f t="shared" ref="E18" si="2">B18*C18</f>
        <v>27.96</v>
      </c>
    </row>
    <row r="19" spans="1:5">
      <c r="A19" t="s">
        <v>31</v>
      </c>
      <c r="B19" s="3">
        <v>0.2</v>
      </c>
      <c r="C19">
        <v>12</v>
      </c>
      <c r="D19" s="2"/>
      <c r="E19" s="3">
        <f>B19*C19</f>
        <v>2.4000000000000004</v>
      </c>
    </row>
    <row r="20" spans="1:5">
      <c r="A20" t="s">
        <v>32</v>
      </c>
      <c r="B20" s="3">
        <v>5.84</v>
      </c>
      <c r="C20">
        <v>2</v>
      </c>
      <c r="D20" s="2" t="s">
        <v>33</v>
      </c>
      <c r="E20" s="3">
        <f>B20*C20</f>
        <v>11.68</v>
      </c>
    </row>
    <row r="21" spans="1:5">
      <c r="A21" t="s">
        <v>34</v>
      </c>
      <c r="B21" s="3">
        <v>20</v>
      </c>
      <c r="C21">
        <v>1</v>
      </c>
      <c r="D21" s="2"/>
      <c r="E21" s="3">
        <f>B21*C21</f>
        <v>20</v>
      </c>
    </row>
    <row r="22" spans="1:5">
      <c r="A22" t="s">
        <v>35</v>
      </c>
      <c r="B22" s="3">
        <v>150</v>
      </c>
      <c r="C22">
        <v>1</v>
      </c>
      <c r="E22" s="3">
        <f>B22*C22</f>
        <v>150</v>
      </c>
    </row>
    <row r="23" spans="1:5">
      <c r="D23" s="3"/>
    </row>
  </sheetData>
  <hyperlinks>
    <hyperlink ref="D5" r:id="rId1" xr:uid="{660911F5-FA8A-45AC-B551-10D34D69EAE2}"/>
    <hyperlink ref="D20" r:id="rId2" xr:uid="{D2B6C80B-45A8-4D03-8013-92CD6F454469}"/>
    <hyperlink ref="D17" r:id="rId3" xr:uid="{49F6E5C9-9253-4EF1-9EF6-918E774B21F7}"/>
    <hyperlink ref="D2" r:id="rId4" xr:uid="{02148AC1-398A-44BE-AB9E-6052FF77E4CC}"/>
    <hyperlink ref="D3" r:id="rId5" xr:uid="{BB638B43-2007-4972-BD46-40CBDD32B48D}"/>
    <hyperlink ref="D7" r:id="rId6" xr:uid="{19295E54-70B0-4CA0-A7CE-FB03A81543F3}"/>
    <hyperlink ref="D8" r:id="rId7" xr:uid="{9A82269F-E6BD-45B1-87F8-84DF108995B6}"/>
    <hyperlink ref="D4" r:id="rId8" xr:uid="{E9D7A50C-E898-4CFB-95FF-B40D2AF579FE}"/>
    <hyperlink ref="D18" r:id="rId9" xr:uid="{A28BE74D-C1C8-4F35-8F43-26CF136E5E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110C-18DC-4994-9F44-C84C1922A768}">
  <dimension ref="A1:F31"/>
  <sheetViews>
    <sheetView tabSelected="1" workbookViewId="0">
      <selection activeCell="G7" sqref="G7"/>
    </sheetView>
  </sheetViews>
  <sheetFormatPr defaultRowHeight="15"/>
  <cols>
    <col min="1" max="1" width="20.5703125" customWidth="1"/>
    <col min="4" max="4" width="10" customWidth="1"/>
    <col min="6" max="6" width="17" customWidth="1"/>
  </cols>
  <sheetData>
    <row r="1" spans="1:6">
      <c r="A1" s="15" t="s">
        <v>0</v>
      </c>
      <c r="B1" s="16" t="s">
        <v>1</v>
      </c>
      <c r="C1" s="16" t="s">
        <v>2</v>
      </c>
      <c r="D1" s="17" t="s">
        <v>4</v>
      </c>
      <c r="F1" s="19" t="s">
        <v>36</v>
      </c>
    </row>
    <row r="2" spans="1:6">
      <c r="A2" s="6" t="s">
        <v>37</v>
      </c>
      <c r="D2" s="7"/>
      <c r="F2" s="5">
        <f>SUM(D2:D40)</f>
        <v>972.24999999999989</v>
      </c>
    </row>
    <row r="3" spans="1:6">
      <c r="A3" s="8" t="s">
        <v>27</v>
      </c>
      <c r="B3" s="3">
        <v>55</v>
      </c>
      <c r="C3">
        <v>1</v>
      </c>
      <c r="D3" s="9">
        <f>B3*C3</f>
        <v>55</v>
      </c>
    </row>
    <row r="4" spans="1:6">
      <c r="A4" s="6" t="s">
        <v>38</v>
      </c>
      <c r="B4" s="3"/>
      <c r="D4" s="9"/>
      <c r="F4" s="19" t="s">
        <v>39</v>
      </c>
    </row>
    <row r="5" spans="1:6">
      <c r="A5" s="8" t="s">
        <v>6</v>
      </c>
      <c r="B5" s="3">
        <v>1.37</v>
      </c>
      <c r="C5">
        <v>10</v>
      </c>
      <c r="D5" s="9">
        <f t="shared" ref="D5:D11" si="0">B5*C5</f>
        <v>13.700000000000001</v>
      </c>
      <c r="F5" s="5">
        <f>F2*1.2</f>
        <v>1166.6999999999998</v>
      </c>
    </row>
    <row r="6" spans="1:6">
      <c r="A6" s="8" t="s">
        <v>8</v>
      </c>
      <c r="B6" s="3">
        <v>25.99</v>
      </c>
      <c r="C6">
        <v>1</v>
      </c>
      <c r="D6" s="9">
        <f t="shared" si="0"/>
        <v>25.99</v>
      </c>
    </row>
    <row r="7" spans="1:6">
      <c r="A7" s="8" t="s">
        <v>10</v>
      </c>
      <c r="B7" s="3">
        <v>89.99</v>
      </c>
      <c r="C7">
        <v>1</v>
      </c>
      <c r="D7" s="9">
        <f t="shared" si="0"/>
        <v>89.99</v>
      </c>
    </row>
    <row r="8" spans="1:6">
      <c r="A8" s="8" t="s">
        <v>12</v>
      </c>
      <c r="B8" s="3">
        <v>4.4000000000000004</v>
      </c>
      <c r="C8">
        <v>2</v>
      </c>
      <c r="D8" s="9">
        <f t="shared" si="0"/>
        <v>8.8000000000000007</v>
      </c>
      <c r="F8" s="3"/>
    </row>
    <row r="9" spans="1:6">
      <c r="A9" s="8" t="s">
        <v>14</v>
      </c>
      <c r="B9" s="3">
        <v>10</v>
      </c>
      <c r="C9">
        <v>1</v>
      </c>
      <c r="D9" s="9">
        <f t="shared" si="0"/>
        <v>10</v>
      </c>
    </row>
    <row r="10" spans="1:6">
      <c r="A10" s="8" t="s">
        <v>15</v>
      </c>
      <c r="B10" s="3">
        <v>8.1</v>
      </c>
      <c r="C10">
        <v>2</v>
      </c>
      <c r="D10" s="9">
        <f t="shared" si="0"/>
        <v>16.2</v>
      </c>
      <c r="F10" s="3">
        <f>SUM(D3,D5,D6,D7,D8,D9:D25)</f>
        <v>629.89999999999986</v>
      </c>
    </row>
    <row r="11" spans="1:6">
      <c r="A11" s="8" t="s">
        <v>17</v>
      </c>
      <c r="B11" s="3">
        <v>46.5</v>
      </c>
      <c r="C11">
        <v>1</v>
      </c>
      <c r="D11" s="9">
        <f t="shared" si="0"/>
        <v>46.5</v>
      </c>
    </row>
    <row r="12" spans="1:6">
      <c r="A12" s="8" t="s">
        <v>19</v>
      </c>
      <c r="B12" s="3">
        <v>1</v>
      </c>
      <c r="C12">
        <v>2</v>
      </c>
      <c r="D12" s="9">
        <f t="shared" ref="D12:D17" si="1">B12*C12</f>
        <v>2</v>
      </c>
    </row>
    <row r="13" spans="1:6">
      <c r="A13" s="8" t="s">
        <v>20</v>
      </c>
      <c r="B13" s="3">
        <v>0.32</v>
      </c>
      <c r="C13">
        <v>2</v>
      </c>
      <c r="D13" s="9">
        <f t="shared" si="1"/>
        <v>0.64</v>
      </c>
    </row>
    <row r="14" spans="1:6">
      <c r="A14" s="8" t="s">
        <v>21</v>
      </c>
      <c r="B14" s="3">
        <v>1</v>
      </c>
      <c r="C14">
        <v>7</v>
      </c>
      <c r="D14" s="9">
        <f t="shared" si="1"/>
        <v>7</v>
      </c>
    </row>
    <row r="15" spans="1:6">
      <c r="A15" s="8" t="s">
        <v>22</v>
      </c>
      <c r="B15" s="3">
        <v>3</v>
      </c>
      <c r="C15">
        <v>4</v>
      </c>
      <c r="D15" s="9">
        <f t="shared" si="1"/>
        <v>12</v>
      </c>
    </row>
    <row r="16" spans="1:6">
      <c r="A16" s="8" t="s">
        <v>23</v>
      </c>
      <c r="B16" s="3">
        <v>1</v>
      </c>
      <c r="C16">
        <v>9</v>
      </c>
      <c r="D16" s="9">
        <f t="shared" si="1"/>
        <v>9</v>
      </c>
    </row>
    <row r="17" spans="1:4">
      <c r="A17" s="8" t="s">
        <v>24</v>
      </c>
      <c r="B17" s="3">
        <v>4</v>
      </c>
      <c r="C17">
        <v>3</v>
      </c>
      <c r="D17" s="9">
        <f t="shared" si="1"/>
        <v>12</v>
      </c>
    </row>
    <row r="18" spans="1:4">
      <c r="A18" s="8" t="s">
        <v>25</v>
      </c>
      <c r="B18" s="3">
        <v>18</v>
      </c>
      <c r="C18">
        <v>4</v>
      </c>
      <c r="D18" s="9">
        <f>B18*C18</f>
        <v>72</v>
      </c>
    </row>
    <row r="19" spans="1:4">
      <c r="A19" s="8" t="s">
        <v>26</v>
      </c>
      <c r="B19" s="3">
        <v>0</v>
      </c>
      <c r="C19">
        <v>3</v>
      </c>
      <c r="D19" s="9">
        <f>B19*C19</f>
        <v>0</v>
      </c>
    </row>
    <row r="20" spans="1:4">
      <c r="A20" s="8" t="s">
        <v>27</v>
      </c>
      <c r="B20" s="3">
        <v>25</v>
      </c>
      <c r="C20">
        <v>4</v>
      </c>
      <c r="D20" s="9">
        <f>B20*C20</f>
        <v>100</v>
      </c>
    </row>
    <row r="21" spans="1:4">
      <c r="A21" s="8" t="s">
        <v>29</v>
      </c>
      <c r="B21" s="3">
        <v>6.99</v>
      </c>
      <c r="C21">
        <v>4</v>
      </c>
      <c r="D21" s="9">
        <f t="shared" ref="D21" si="2">B21*C21</f>
        <v>27.96</v>
      </c>
    </row>
    <row r="22" spans="1:4">
      <c r="A22" s="8" t="s">
        <v>31</v>
      </c>
      <c r="B22" s="3">
        <v>0.2</v>
      </c>
      <c r="C22">
        <v>12</v>
      </c>
      <c r="D22" s="9">
        <f>B22*C22</f>
        <v>2.4000000000000004</v>
      </c>
    </row>
    <row r="23" spans="1:4">
      <c r="A23" s="8" t="s">
        <v>32</v>
      </c>
      <c r="B23" s="3">
        <v>5.84</v>
      </c>
      <c r="C23">
        <v>2</v>
      </c>
      <c r="D23" s="9">
        <f>B23*C23</f>
        <v>11.68</v>
      </c>
    </row>
    <row r="24" spans="1:4">
      <c r="A24" s="8" t="s">
        <v>40</v>
      </c>
      <c r="B24" s="3">
        <v>5.44</v>
      </c>
      <c r="C24">
        <v>16</v>
      </c>
      <c r="D24" s="9">
        <f>B24*C24</f>
        <v>87.04</v>
      </c>
    </row>
    <row r="25" spans="1:4">
      <c r="A25" s="8" t="s">
        <v>34</v>
      </c>
      <c r="B25" s="3">
        <v>20</v>
      </c>
      <c r="C25">
        <v>1</v>
      </c>
      <c r="D25" s="9">
        <f>B25*C25</f>
        <v>20</v>
      </c>
    </row>
    <row r="26" spans="1:4">
      <c r="A26" s="10" t="s">
        <v>41</v>
      </c>
      <c r="B26" s="3"/>
      <c r="D26" s="9"/>
    </row>
    <row r="27" spans="1:4">
      <c r="A27" s="8" t="s">
        <v>35</v>
      </c>
      <c r="B27" s="3">
        <v>150</v>
      </c>
      <c r="C27">
        <v>1</v>
      </c>
      <c r="D27" s="9">
        <f>B27*C27</f>
        <v>150</v>
      </c>
    </row>
    <row r="28" spans="1:4">
      <c r="A28" s="6" t="s">
        <v>42</v>
      </c>
      <c r="D28" s="9"/>
    </row>
    <row r="29" spans="1:4">
      <c r="A29" s="10" t="s">
        <v>43</v>
      </c>
      <c r="B29" s="3">
        <v>150</v>
      </c>
      <c r="C29">
        <v>1</v>
      </c>
      <c r="D29" s="9">
        <f>B29*C29</f>
        <v>150</v>
      </c>
    </row>
    <row r="30" spans="1:4">
      <c r="A30" s="10" t="s">
        <v>44</v>
      </c>
      <c r="B30" s="3">
        <v>30.35</v>
      </c>
      <c r="C30">
        <v>1</v>
      </c>
      <c r="D30" s="9">
        <v>30.35</v>
      </c>
    </row>
    <row r="31" spans="1:4">
      <c r="A31" s="11" t="s">
        <v>45</v>
      </c>
      <c r="B31" s="12">
        <v>12</v>
      </c>
      <c r="C31" s="13">
        <v>1</v>
      </c>
      <c r="D31" s="14">
        <f>B31*C31</f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247A15C38DE40A573999B6070A975" ma:contentTypeVersion="11" ma:contentTypeDescription="Create a new document." ma:contentTypeScope="" ma:versionID="afb66a0050ffe63c0caaf523038e8bbd">
  <xsd:schema xmlns:xsd="http://www.w3.org/2001/XMLSchema" xmlns:xs="http://www.w3.org/2001/XMLSchema" xmlns:p="http://schemas.microsoft.com/office/2006/metadata/properties" xmlns:ns2="a5dae947-98e5-495e-bab1-cc2a6059ad3b" xmlns:ns3="101382ff-e895-4226-9b8b-208a50023ada" targetNamespace="http://schemas.microsoft.com/office/2006/metadata/properties" ma:root="true" ma:fieldsID="34e31e9107cc25fa3e8a352dd8873f5d" ns2:_="" ns3:_="">
    <xsd:import namespace="a5dae947-98e5-495e-bab1-cc2a6059ad3b"/>
    <xsd:import namespace="101382ff-e895-4226-9b8b-208a50023a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ae947-98e5-495e-bab1-cc2a6059ad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dcab841-b377-4e82-87b7-c4480f266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382ff-e895-4226-9b8b-208a50023ad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cad34b7-b5d1-438c-95c5-dcc7e7eb8d6f}" ma:internalName="TaxCatchAll" ma:showField="CatchAllData" ma:web="101382ff-e895-4226-9b8b-208a50023a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1382ff-e895-4226-9b8b-208a50023ada" xsi:nil="true"/>
    <lcf76f155ced4ddcb4097134ff3c332f xmlns="a5dae947-98e5-495e-bab1-cc2a6059ad3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30969C-1DA4-489D-8EB7-AC9D8D83E89F}"/>
</file>

<file path=customXml/itemProps2.xml><?xml version="1.0" encoding="utf-8"?>
<ds:datastoreItem xmlns:ds="http://schemas.openxmlformats.org/officeDocument/2006/customXml" ds:itemID="{818C0A21-AEF5-46E6-9E9E-C1B1D3E94CE1}"/>
</file>

<file path=customXml/itemProps3.xml><?xml version="1.0" encoding="utf-8"?>
<ds:datastoreItem xmlns:ds="http://schemas.openxmlformats.org/officeDocument/2006/customXml" ds:itemID="{D5D78329-8BE4-4FED-A909-A8022F6A65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Trace Shafer</dc:creator>
  <cp:keywords/>
  <dc:description/>
  <cp:lastModifiedBy>Micah Gifford</cp:lastModifiedBy>
  <cp:revision/>
  <dcterms:created xsi:type="dcterms:W3CDTF">2024-09-09T19:53:10Z</dcterms:created>
  <dcterms:modified xsi:type="dcterms:W3CDTF">2025-02-14T23:05:08Z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0x010100215247A15C38DE40A573999B6070A975</vt:lpwstr>
  </property>
</Properties>
</file>