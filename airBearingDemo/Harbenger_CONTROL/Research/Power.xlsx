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 defaultThemeVersion="166925"/>
  <xr:revisionPtr revIDLastSave="90" documentId="11_E60897F41BE170836B02CE998F75CCDC64E183C8" xr6:coauthVersionLast="47" xr6:coauthVersionMax="47" xr10:uidLastSave="{EC65DD33-292C-4A55-9F10-6FCE2ACDEAB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8" i="1"/>
  <c r="C10" i="1"/>
  <c r="F10" i="1"/>
  <c r="F9" i="1"/>
  <c r="F8" i="1"/>
  <c r="F7" i="1"/>
  <c r="F6" i="1"/>
  <c r="F5" i="1"/>
  <c r="F4" i="1"/>
  <c r="F3" i="1"/>
  <c r="I3" i="1" l="1"/>
  <c r="I2" i="1"/>
</calcChain>
</file>

<file path=xl/sharedStrings.xml><?xml version="1.0" encoding="utf-8"?>
<sst xmlns="http://schemas.openxmlformats.org/spreadsheetml/2006/main" count="15" uniqueCount="15">
  <si>
    <t>Part</t>
  </si>
  <si>
    <t>Max Power (W*h/orbit)</t>
  </si>
  <si>
    <t>Planned Power (W*h/orbit)</t>
  </si>
  <si>
    <t>Quantity</t>
  </si>
  <si>
    <t>Total Power (W*h/orbit)</t>
  </si>
  <si>
    <t>Total Power</t>
  </si>
  <si>
    <t>DC Motor</t>
  </si>
  <si>
    <t>Contingency Power</t>
  </si>
  <si>
    <t>Motor Diver</t>
  </si>
  <si>
    <t>Star Tracker Camera</t>
  </si>
  <si>
    <t>Sun Sensor Photodiode</t>
  </si>
  <si>
    <t>IMU</t>
  </si>
  <si>
    <t>Magnetometer</t>
  </si>
  <si>
    <t>Microcontroller</t>
  </si>
  <si>
    <t>Magnitourquer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</si>
</sst>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2" borderId="3" xfId="0" applyFont="1" applyFill="1" applyBorder="1"/>
    <xf numFmtId="0" fontId="1" fillId="0" borderId="9" xfId="0" applyFont="1" applyBorder="1"/>
    <xf numFmtId="0" fontId="1" fillId="2" borderId="10" xfId="0" applyFont="1" applyFill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0"/>
  <sheetViews>
    <sheetView tabSelected="1" workbookViewId="0">
      <selection activeCell="D19" sqref="D19"/>
    </sheetView>
  </sheetViews>
  <sheetFormatPr defaultRowHeight="15"/>
  <cols>
    <col min="2" max="3" width="21.140625" customWidth="1"/>
    <col min="4" max="4" width="23.85546875" customWidth="1"/>
    <col min="5" max="5" width="8.140625" customWidth="1"/>
    <col min="6" max="6" width="23.42578125" customWidth="1"/>
    <col min="7" max="7" width="7.140625" customWidth="1"/>
    <col min="8" max="8" width="17.5703125" customWidth="1"/>
    <col min="9" max="9" width="15.28515625" customWidth="1"/>
  </cols>
  <sheetData>
    <row r="2" spans="2:9">
      <c r="B2" s="7" t="s">
        <v>0</v>
      </c>
      <c r="C2" s="11" t="s">
        <v>1</v>
      </c>
      <c r="D2" s="11" t="s">
        <v>2</v>
      </c>
      <c r="E2" s="11" t="s">
        <v>3</v>
      </c>
      <c r="F2" s="12" t="s">
        <v>4</v>
      </c>
      <c r="G2" s="2"/>
      <c r="H2" s="7" t="s">
        <v>5</v>
      </c>
      <c r="I2" s="8" t="str">
        <f>ROUND(SUM(F3:F10),2)&amp; " W*h/orbit"</f>
        <v>2.82 W*h/orbit</v>
      </c>
    </row>
    <row r="3" spans="2:9">
      <c r="B3" s="1" t="s">
        <v>6</v>
      </c>
      <c r="C3" s="2">
        <v>19.8</v>
      </c>
      <c r="D3" s="2">
        <v>0.55000000000000004</v>
      </c>
      <c r="E3" s="2">
        <v>4</v>
      </c>
      <c r="F3" s="3">
        <f>D3*E3</f>
        <v>2.2000000000000002</v>
      </c>
      <c r="H3" s="9" t="s">
        <v>7</v>
      </c>
      <c r="I3" s="10" t="str">
        <f>ROUND(SUM(F3:F10),2)*1.2&amp; " W*h/orbit"</f>
        <v>3.384 W*h/orbit</v>
      </c>
    </row>
    <row r="4" spans="2:9">
      <c r="B4" s="1" t="s">
        <v>8</v>
      </c>
      <c r="C4" s="2">
        <v>2.16</v>
      </c>
      <c r="D4" s="2">
        <v>0.12</v>
      </c>
      <c r="E4" s="2">
        <v>4</v>
      </c>
      <c r="F4" s="3">
        <f t="shared" ref="F4:F10" si="0">D4*E4</f>
        <v>0.48</v>
      </c>
    </row>
    <row r="5" spans="2:9">
      <c r="B5" s="1" t="s">
        <v>9</v>
      </c>
      <c r="C5" s="2">
        <v>1.5</v>
      </c>
      <c r="D5" s="2">
        <v>0.1</v>
      </c>
      <c r="E5" s="2">
        <v>1</v>
      </c>
      <c r="F5" s="3">
        <f t="shared" si="0"/>
        <v>0.1</v>
      </c>
    </row>
    <row r="6" spans="2:9">
      <c r="B6" s="1" t="s">
        <v>10</v>
      </c>
      <c r="C6" s="2">
        <f>0.0000425*21</f>
        <v>8.9250000000000006E-4</v>
      </c>
      <c r="D6" s="2">
        <v>4.2500000000000003E-5</v>
      </c>
      <c r="E6" s="2">
        <v>5</v>
      </c>
      <c r="F6" s="3">
        <f t="shared" si="0"/>
        <v>2.1250000000000002E-4</v>
      </c>
    </row>
    <row r="7" spans="2:9">
      <c r="B7" s="1" t="s">
        <v>11</v>
      </c>
      <c r="C7" s="2">
        <v>0.28050000000000003</v>
      </c>
      <c r="D7" s="2">
        <v>2.1450000000000002E-3</v>
      </c>
      <c r="E7" s="2">
        <v>1</v>
      </c>
      <c r="F7" s="3">
        <f t="shared" si="0"/>
        <v>2.1450000000000002E-3</v>
      </c>
    </row>
    <row r="8" spans="2:9">
      <c r="B8" s="1" t="s">
        <v>12</v>
      </c>
      <c r="C8" s="2">
        <f>0.001377</f>
        <v>1.377E-3</v>
      </c>
      <c r="D8" s="2">
        <v>8.9099999999999997E-4</v>
      </c>
      <c r="E8" s="2">
        <v>1</v>
      </c>
      <c r="F8" s="3">
        <f t="shared" si="0"/>
        <v>8.9099999999999997E-4</v>
      </c>
    </row>
    <row r="9" spans="2:9">
      <c r="B9" s="1" t="s">
        <v>13</v>
      </c>
      <c r="C9" s="2">
        <v>0.50219999999999998</v>
      </c>
      <c r="D9" s="2">
        <v>1.6500000000000001E-2</v>
      </c>
      <c r="E9" s="2">
        <v>2</v>
      </c>
      <c r="F9" s="3">
        <f t="shared" si="0"/>
        <v>3.3000000000000002E-2</v>
      </c>
    </row>
    <row r="10" spans="2:9">
      <c r="B10" s="4" t="s">
        <v>14</v>
      </c>
      <c r="C10" s="5">
        <f>0.00005555555*25</f>
        <v>1.3888887499999998E-3</v>
      </c>
      <c r="D10" s="5">
        <v>5.5555549999999997E-5</v>
      </c>
      <c r="E10" s="5">
        <v>3</v>
      </c>
      <c r="F10" s="6">
        <f t="shared" si="0"/>
        <v>1.6666665E-4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247A15C38DE40A573999B6070A975" ma:contentTypeVersion="11" ma:contentTypeDescription="Create a new document." ma:contentTypeScope="" ma:versionID="afb66a0050ffe63c0caaf523038e8bbd">
  <xsd:schema xmlns:xsd="http://www.w3.org/2001/XMLSchema" xmlns:xs="http://www.w3.org/2001/XMLSchema" xmlns:p="http://schemas.microsoft.com/office/2006/metadata/properties" xmlns:ns2="a5dae947-98e5-495e-bab1-cc2a6059ad3b" xmlns:ns3="101382ff-e895-4226-9b8b-208a50023ada" targetNamespace="http://schemas.microsoft.com/office/2006/metadata/properties" ma:root="true" ma:fieldsID="34e31e9107cc25fa3e8a352dd8873f5d" ns2:_="" ns3:_="">
    <xsd:import namespace="a5dae947-98e5-495e-bab1-cc2a6059ad3b"/>
    <xsd:import namespace="101382ff-e895-4226-9b8b-208a5002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e947-98e5-495e-bab1-cc2a6059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cab841-b377-4e82-87b7-c4480f266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82ff-e895-4226-9b8b-208a50023a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ad34b7-b5d1-438c-95c5-dcc7e7eb8d6f}" ma:internalName="TaxCatchAll" ma:showField="CatchAllData" ma:web="101382ff-e895-4226-9b8b-208a5002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382ff-e895-4226-9b8b-208a50023ada" xsi:nil="true"/>
    <lcf76f155ced4ddcb4097134ff3c332f xmlns="a5dae947-98e5-495e-bab1-cc2a6059ad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14FD1D-CB19-4BA7-9951-DC8139FBD917}"/>
</file>

<file path=customXml/itemProps2.xml><?xml version="1.0" encoding="utf-8"?>
<ds:datastoreItem xmlns:ds="http://schemas.openxmlformats.org/officeDocument/2006/customXml" ds:itemID="{8D701738-1F4C-4F4E-B594-3E2F017D99DE}"/>
</file>

<file path=customXml/itemProps3.xml><?xml version="1.0" encoding="utf-8"?>
<ds:datastoreItem xmlns:ds="http://schemas.openxmlformats.org/officeDocument/2006/customXml" ds:itemID="{F14604FD-F76B-43F0-93A5-E73FB1D22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Sherman</cp:lastModifiedBy>
  <cp:revision/>
  <dcterms:created xsi:type="dcterms:W3CDTF">2024-10-16T19:40:04Z</dcterms:created>
  <dcterms:modified xsi:type="dcterms:W3CDTF">2024-10-28T22:18:25Z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0x010100215247A15C38DE40A573999B6070A975</vt:lpwstr>
  </property>
</Properties>
</file>