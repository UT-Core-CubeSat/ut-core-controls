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1"/>
  <workbookPr defaultThemeVersion="166925"/>
  <xr:revisionPtr revIDLastSave="118" documentId="11_E60897F41BE170836B02CE998F75CCDC64E183C8" xr6:coauthVersionLast="47" xr6:coauthVersionMax="47" xr10:uidLastSave="{46163E64-D3EC-4297-9D11-E910EB8AFC4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2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<sst xmlns="http://schemas.openxmlformats.org/spreadsheetml/2006/main" count="16" uniqueCount="16">
  <si>
    <t>Part</t>
  </si>
  <si>
    <t>Weight (g)</t>
  </si>
  <si>
    <t>Quantity</t>
  </si>
  <si>
    <t>Total Weight (g)</t>
  </si>
  <si>
    <t>Total Weight</t>
  </si>
  <si>
    <t>DC Motor</t>
  </si>
  <si>
    <t>Contingency Weight</t>
  </si>
  <si>
    <t>Motor Diver</t>
  </si>
  <si>
    <t>6061 Aluminum Block</t>
  </si>
  <si>
    <t>Star Tracker Camera</t>
  </si>
  <si>
    <t>Sun Sensor Photodiode</t>
  </si>
  <si>
    <t>IMU</t>
  </si>
  <si>
    <t>Magnetometer</t>
  </si>
  <si>
    <t>Microcontroller</t>
  </si>
  <si>
    <t>Controls Board</t>
  </si>
  <si>
    <t>Wires/Connectors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</si>
</sst>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A191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 applyBorder="1"/>
    <xf numFmtId="0" fontId="0" fillId="0" borderId="0" xfId="0" applyBorder="1"/>
    <xf numFmtId="0" fontId="2" fillId="0" borderId="1" xfId="0" applyFont="1" applyBorder="1"/>
    <xf numFmtId="0" fontId="1" fillId="2" borderId="1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2"/>
  <sheetViews>
    <sheetView tabSelected="1" workbookViewId="0">
      <selection activeCell="B2" sqref="B2:E12"/>
    </sheetView>
  </sheetViews>
  <sheetFormatPr defaultRowHeight="15"/>
  <cols>
    <col min="2" max="2" width="25.140625" customWidth="1"/>
    <col min="3" max="3" width="10.7109375" customWidth="1"/>
    <col min="4" max="4" width="12.42578125" customWidth="1"/>
    <col min="5" max="5" width="16.28515625" customWidth="1"/>
    <col min="7" max="7" width="19.28515625" customWidth="1"/>
    <col min="8" max="8" width="15.85546875" customWidth="1"/>
    <col min="10" max="10" width="20.5703125" customWidth="1"/>
  </cols>
  <sheetData>
    <row r="2" spans="2:8">
      <c r="B2" s="1" t="s">
        <v>0</v>
      </c>
      <c r="C2" s="1" t="s">
        <v>1</v>
      </c>
      <c r="D2" s="1" t="s">
        <v>2</v>
      </c>
      <c r="E2" s="1" t="s">
        <v>3</v>
      </c>
      <c r="G2" s="2" t="s">
        <v>4</v>
      </c>
      <c r="H2" s="6" t="str">
        <f>(SUM(E3:E12)&amp;" grams")</f>
        <v>627.2 grams</v>
      </c>
    </row>
    <row r="3" spans="2:8">
      <c r="B3" s="7" t="s">
        <v>5</v>
      </c>
      <c r="C3" s="4">
        <v>107</v>
      </c>
      <c r="D3" s="4">
        <v>4</v>
      </c>
      <c r="E3" s="8">
        <f>C3*D3</f>
        <v>428</v>
      </c>
      <c r="G3" s="5" t="s">
        <v>6</v>
      </c>
      <c r="H3" s="6" t="str">
        <f>SUM(E3:E12)*1.2 &amp;" grams"</f>
        <v>752.64 grams</v>
      </c>
    </row>
    <row r="4" spans="2:8">
      <c r="B4" s="7" t="s">
        <v>7</v>
      </c>
      <c r="C4" s="4">
        <v>0.15</v>
      </c>
      <c r="D4" s="4">
        <v>4</v>
      </c>
      <c r="E4" s="8">
        <f t="shared" ref="E4:E12" si="0">C4*D4</f>
        <v>0.6</v>
      </c>
      <c r="G4" s="3"/>
      <c r="H4" s="4"/>
    </row>
    <row r="5" spans="2:8">
      <c r="B5" s="7" t="s">
        <v>8</v>
      </c>
      <c r="C5" s="4">
        <v>156</v>
      </c>
      <c r="D5" s="4">
        <v>1</v>
      </c>
      <c r="E5" s="8">
        <f t="shared" si="0"/>
        <v>156</v>
      </c>
    </row>
    <row r="6" spans="2:8">
      <c r="B6" s="7" t="s">
        <v>9</v>
      </c>
      <c r="C6" s="4">
        <v>20</v>
      </c>
      <c r="D6" s="4">
        <v>1</v>
      </c>
      <c r="E6" s="8">
        <f t="shared" si="0"/>
        <v>20</v>
      </c>
    </row>
    <row r="7" spans="2:8">
      <c r="B7" s="7" t="s">
        <v>10</v>
      </c>
      <c r="C7" s="4">
        <v>0.28999999999999998</v>
      </c>
      <c r="D7" s="4">
        <v>5</v>
      </c>
      <c r="E7" s="8">
        <f t="shared" si="0"/>
        <v>1.45</v>
      </c>
    </row>
    <row r="8" spans="2:8">
      <c r="B8" s="7" t="s">
        <v>11</v>
      </c>
      <c r="C8" s="4">
        <v>0.1</v>
      </c>
      <c r="D8" s="4">
        <v>1</v>
      </c>
      <c r="E8" s="8">
        <f t="shared" si="0"/>
        <v>0.1</v>
      </c>
    </row>
    <row r="9" spans="2:8">
      <c r="B9" s="7" t="s">
        <v>12</v>
      </c>
      <c r="C9" s="4">
        <v>0.05</v>
      </c>
      <c r="D9" s="4">
        <v>1</v>
      </c>
      <c r="E9" s="8">
        <f t="shared" si="0"/>
        <v>0.05</v>
      </c>
    </row>
    <row r="10" spans="2:8">
      <c r="B10" s="7" t="s">
        <v>13</v>
      </c>
      <c r="C10" s="4">
        <v>0.5</v>
      </c>
      <c r="D10" s="4">
        <v>2</v>
      </c>
      <c r="E10" s="8">
        <f t="shared" si="0"/>
        <v>1</v>
      </c>
    </row>
    <row r="11" spans="2:8">
      <c r="B11" s="7" t="s">
        <v>14</v>
      </c>
      <c r="C11" s="4">
        <v>10</v>
      </c>
      <c r="D11" s="4">
        <v>1</v>
      </c>
      <c r="E11" s="8">
        <f t="shared" si="0"/>
        <v>10</v>
      </c>
    </row>
    <row r="12" spans="2:8">
      <c r="B12" s="9" t="s">
        <v>15</v>
      </c>
      <c r="C12" s="10">
        <v>10</v>
      </c>
      <c r="D12" s="10">
        <v>1</v>
      </c>
      <c r="E12" s="11">
        <f t="shared" si="0"/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5247A15C38DE40A573999B6070A975" ma:contentTypeVersion="11" ma:contentTypeDescription="Create a new document." ma:contentTypeScope="" ma:versionID="afb66a0050ffe63c0caaf523038e8bbd">
  <xsd:schema xmlns:xsd="http://www.w3.org/2001/XMLSchema" xmlns:xs="http://www.w3.org/2001/XMLSchema" xmlns:p="http://schemas.microsoft.com/office/2006/metadata/properties" xmlns:ns2="a5dae947-98e5-495e-bab1-cc2a6059ad3b" xmlns:ns3="101382ff-e895-4226-9b8b-208a50023ada" targetNamespace="http://schemas.microsoft.com/office/2006/metadata/properties" ma:root="true" ma:fieldsID="34e31e9107cc25fa3e8a352dd8873f5d" ns2:_="" ns3:_="">
    <xsd:import namespace="a5dae947-98e5-495e-bab1-cc2a6059ad3b"/>
    <xsd:import namespace="101382ff-e895-4226-9b8b-208a50023a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dae947-98e5-495e-bab1-cc2a6059ad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dcab841-b377-4e82-87b7-c4480f2663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1382ff-e895-4226-9b8b-208a50023ad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cad34b7-b5d1-438c-95c5-dcc7e7eb8d6f}" ma:internalName="TaxCatchAll" ma:showField="CatchAllData" ma:web="101382ff-e895-4226-9b8b-208a50023a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1382ff-e895-4226-9b8b-208a50023ada" xsi:nil="true"/>
    <lcf76f155ced4ddcb4097134ff3c332f xmlns="a5dae947-98e5-495e-bab1-cc2a6059ad3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8F7C3B-0750-481F-94A7-AB3438715991}"/>
</file>

<file path=customXml/itemProps2.xml><?xml version="1.0" encoding="utf-8"?>
<ds:datastoreItem xmlns:ds="http://schemas.openxmlformats.org/officeDocument/2006/customXml" ds:itemID="{587F8445-EF63-4F6E-8CAB-89E07E75D05C}"/>
</file>

<file path=customXml/itemProps3.xml><?xml version="1.0" encoding="utf-8"?>
<ds:datastoreItem xmlns:ds="http://schemas.openxmlformats.org/officeDocument/2006/customXml" ds:itemID="{A517C668-7562-442F-BCB0-4ABE03FD20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 Sherman</cp:lastModifiedBy>
  <cp:revision/>
  <dcterms:created xsi:type="dcterms:W3CDTF">2024-10-09T20:45:38Z</dcterms:created>
  <dcterms:modified xsi:type="dcterms:W3CDTF">2024-10-23T21:11:25Z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0x010100215247A15C38DE40A573999B6070A975</vt:lpwstr>
  </property>
</Properties>
</file>