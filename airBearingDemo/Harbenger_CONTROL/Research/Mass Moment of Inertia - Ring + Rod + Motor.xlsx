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ce\Dropbox\CubeSat\CONTROL\Research\"/>
    </mc:Choice>
  </mc:AlternateContent>
  <xr:revisionPtr revIDLastSave="0" documentId="13_ncr:9_{CBFCFC9C-9F22-4A86-886C-88E4A45AD7D9}" xr6:coauthVersionLast="47" xr6:coauthVersionMax="47" xr10:uidLastSave="{00000000-0000-0000-0000-000000000000}"/>
  <bookViews>
    <workbookView xWindow="-120" yWindow="-120" windowWidth="29040" windowHeight="15720" activeTab="3" xr2:uid="{2E74236E-EC53-464B-B0E4-804AA21445E3}"/>
  </bookViews>
  <sheets>
    <sheet name="Run 2" sheetId="1" r:id="rId1"/>
    <sheet name="Run 3" sheetId="2" r:id="rId2"/>
    <sheet name="Run 4" sheetId="3" r:id="rId3"/>
    <sheet name="Run 5" sheetId="4" r:id="rId4"/>
  </sheets>
  <definedNames>
    <definedName name="grav">9.81</definedName>
    <definedName name="mass">15/1000</definedName>
    <definedName name="rad">0.049/2</definedName>
  </definedNames>
  <calcPr calcId="0"/>
</workbook>
</file>

<file path=xl/calcChain.xml><?xml version="1.0" encoding="utf-8"?>
<calcChain xmlns="http://schemas.openxmlformats.org/spreadsheetml/2006/main">
  <c r="F2" i="4" l="1"/>
  <c r="E2" i="4"/>
  <c r="E2" i="1"/>
  <c r="D87" i="1" a="1"/>
  <c r="D87" i="1" s="1"/>
  <c r="D86" i="1" a="1"/>
  <c r="D86" i="1" s="1"/>
  <c r="D85" i="1" a="1"/>
  <c r="D85" i="1" s="1"/>
  <c r="D84" i="1" a="1"/>
  <c r="D84" i="1" s="1"/>
  <c r="D83" i="1" a="1"/>
  <c r="D83" i="1" s="1"/>
  <c r="D82" i="1" a="1"/>
  <c r="D82" i="1" s="1"/>
  <c r="D81" i="1" a="1"/>
  <c r="D81" i="1" s="1"/>
  <c r="D80" i="1" a="1"/>
  <c r="D80" i="1" s="1"/>
  <c r="D79" i="1" a="1"/>
  <c r="D79" i="1" s="1"/>
  <c r="D78" i="1" a="1"/>
  <c r="D78" i="1" s="1"/>
  <c r="D77" i="1" a="1"/>
  <c r="D77" i="1" s="1"/>
  <c r="D76" i="1" a="1"/>
  <c r="D76" i="1" s="1"/>
  <c r="D75" i="1" a="1"/>
  <c r="D75" i="1" s="1"/>
  <c r="D74" i="1" a="1"/>
  <c r="D74" i="1" s="1"/>
  <c r="D73" i="1" a="1"/>
  <c r="D73" i="1" s="1"/>
  <c r="D72" i="1" a="1"/>
  <c r="D72" i="1" s="1"/>
  <c r="D71" i="1" a="1"/>
  <c r="D71" i="1" s="1"/>
  <c r="D70" i="1" a="1"/>
  <c r="D70" i="1" s="1"/>
  <c r="D69" i="1" a="1"/>
  <c r="D69" i="1" s="1"/>
  <c r="D68" i="1" a="1"/>
  <c r="D68" i="1" s="1"/>
  <c r="D67" i="1" a="1"/>
  <c r="D67" i="1" s="1"/>
  <c r="D66" i="1" a="1"/>
  <c r="D66" i="1" s="1"/>
  <c r="D65" i="1" a="1"/>
  <c r="D65" i="1" s="1"/>
  <c r="D64" i="1" a="1"/>
  <c r="D64" i="1" s="1"/>
  <c r="D63" i="1" a="1"/>
  <c r="D63" i="1" s="1"/>
  <c r="D62" i="1" a="1"/>
  <c r="D62" i="1" s="1"/>
  <c r="D61" i="1" a="1"/>
  <c r="D61" i="1" s="1"/>
  <c r="D60" i="1" a="1"/>
  <c r="D60" i="1" s="1"/>
  <c r="D59" i="1" a="1"/>
  <c r="D59" i="1" s="1"/>
  <c r="D58" i="1" a="1"/>
  <c r="D58" i="1" s="1"/>
  <c r="D57" i="1" a="1"/>
  <c r="D57" i="1" s="1"/>
  <c r="D56" i="1" a="1"/>
  <c r="D56" i="1" s="1"/>
  <c r="D55" i="1" a="1"/>
  <c r="D55" i="1" s="1"/>
  <c r="D54" i="1" a="1"/>
  <c r="D54" i="1" s="1"/>
  <c r="D53" i="1" a="1"/>
  <c r="D53" i="1" s="1"/>
  <c r="D52" i="1" a="1"/>
  <c r="D52" i="1" s="1"/>
  <c r="D51" i="1" a="1"/>
  <c r="D51" i="1" s="1"/>
  <c r="D50" i="1" a="1"/>
  <c r="D50" i="1" s="1"/>
  <c r="D49" i="1" a="1"/>
  <c r="D49" i="1" s="1"/>
  <c r="D48" i="1" a="1"/>
  <c r="D48" i="1" s="1"/>
  <c r="D47" i="1" a="1"/>
  <c r="D47" i="1" s="1"/>
  <c r="D46" i="1" a="1"/>
  <c r="D46" i="1" s="1"/>
  <c r="D45" i="1" a="1"/>
  <c r="D45" i="1" s="1"/>
  <c r="D44" i="1" a="1"/>
  <c r="D44" i="1" s="1"/>
  <c r="D43" i="1" a="1"/>
  <c r="D43" i="1" s="1"/>
  <c r="D42" i="1" a="1"/>
  <c r="D42" i="1" s="1"/>
  <c r="D41" i="1" a="1"/>
  <c r="D41" i="1" s="1"/>
  <c r="D40" i="1" a="1"/>
  <c r="D40" i="1" s="1"/>
  <c r="D39" i="1" a="1"/>
  <c r="D39" i="1" s="1"/>
  <c r="D38" i="1" a="1"/>
  <c r="D38" i="1" s="1"/>
  <c r="D37" i="1" a="1"/>
  <c r="D37" i="1" s="1"/>
  <c r="D36" i="1" a="1"/>
  <c r="D36" i="1" s="1"/>
  <c r="D35" i="1" a="1"/>
  <c r="D35" i="1" s="1"/>
  <c r="D34" i="1" a="1"/>
  <c r="D34" i="1" s="1"/>
  <c r="D33" i="1" a="1"/>
  <c r="D33" i="1" s="1"/>
  <c r="D32" i="1" a="1"/>
  <c r="D32" i="1" s="1"/>
  <c r="D31" i="1" a="1"/>
  <c r="D31" i="1" s="1"/>
  <c r="D30" i="1" a="1"/>
  <c r="D30" i="1" s="1"/>
  <c r="D29" i="1" a="1"/>
  <c r="D29" i="1" s="1"/>
  <c r="D28" i="1" a="1"/>
  <c r="D28" i="1" s="1"/>
  <c r="D27" i="1" a="1"/>
  <c r="D27" i="1" s="1"/>
  <c r="D26" i="1" a="1"/>
  <c r="D26" i="1" s="1"/>
  <c r="D25" i="1" a="1"/>
  <c r="D25" i="1" s="1"/>
  <c r="D24" i="1" a="1"/>
  <c r="D24" i="1" s="1"/>
  <c r="D23" i="1" a="1"/>
  <c r="D23" i="1" s="1"/>
  <c r="D22" i="1" a="1"/>
  <c r="D22" i="1" s="1"/>
  <c r="D21" i="1" a="1"/>
  <c r="D21" i="1" s="1"/>
  <c r="D20" i="1" a="1"/>
  <c r="D20" i="1" s="1"/>
  <c r="D19" i="1" a="1"/>
  <c r="D19" i="1" s="1"/>
  <c r="D18" i="1" a="1"/>
  <c r="D18" i="1" s="1"/>
  <c r="D17" i="1" a="1"/>
  <c r="D17" i="1" s="1"/>
  <c r="D16" i="1" a="1"/>
  <c r="D16" i="1" s="1"/>
  <c r="D15" i="1" a="1"/>
  <c r="D15" i="1" s="1"/>
  <c r="D14" i="1" a="1"/>
  <c r="D14" i="1" s="1"/>
  <c r="D13" i="1" a="1"/>
  <c r="D13" i="1" s="1"/>
  <c r="D12" i="1" a="1"/>
  <c r="D12" i="1" s="1"/>
  <c r="D11" i="1" a="1"/>
  <c r="D11" i="1" s="1"/>
  <c r="D10" i="1" a="1"/>
  <c r="D10" i="1" s="1"/>
  <c r="D9" i="1" a="1"/>
  <c r="D9" i="1" s="1"/>
  <c r="D8" i="1" a="1"/>
  <c r="D8" i="1" s="1"/>
  <c r="D7" i="1" a="1"/>
  <c r="D7" i="1" s="1"/>
  <c r="D6" i="1" a="1"/>
  <c r="D6" i="1" s="1"/>
  <c r="D5" i="1" a="1"/>
  <c r="D5" i="1" s="1"/>
  <c r="D4" i="1" a="1"/>
  <c r="D4" i="1" s="1"/>
  <c r="D3" i="1" a="1"/>
  <c r="D3" i="1" s="1"/>
  <c r="D2" i="1" a="1"/>
  <c r="D2" i="1" s="1"/>
  <c r="D110" i="4" a="1"/>
  <c r="D110" i="4" s="1"/>
  <c r="D109" i="4" a="1"/>
  <c r="D109" i="4" s="1"/>
  <c r="D108" i="4" a="1"/>
  <c r="D108" i="4" s="1"/>
  <c r="D107" i="4" a="1"/>
  <c r="D107" i="4" s="1"/>
  <c r="D106" i="4" a="1"/>
  <c r="D106" i="4" s="1"/>
  <c r="D105" i="4" a="1"/>
  <c r="D105" i="4" s="1"/>
  <c r="D104" i="4" a="1"/>
  <c r="D104" i="4" s="1"/>
  <c r="D103" i="4"/>
  <c r="D103" i="4" a="1"/>
  <c r="D102" i="4" a="1"/>
  <c r="D102" i="4" s="1"/>
  <c r="D101" i="4" a="1"/>
  <c r="D101" i="4" s="1"/>
  <c r="D100" i="4" a="1"/>
  <c r="D100" i="4" s="1"/>
  <c r="D99" i="4" a="1"/>
  <c r="D99" i="4" s="1"/>
  <c r="D98" i="4" a="1"/>
  <c r="D98" i="4" s="1"/>
  <c r="D97" i="4" a="1"/>
  <c r="D97" i="4" s="1"/>
  <c r="D96" i="4" a="1"/>
  <c r="D96" i="4" s="1"/>
  <c r="D95" i="4" a="1"/>
  <c r="D95" i="4" s="1"/>
  <c r="D94" i="4" a="1"/>
  <c r="D94" i="4" s="1"/>
  <c r="D93" i="4" a="1"/>
  <c r="D93" i="4" s="1"/>
  <c r="D92" i="4" a="1"/>
  <c r="D92" i="4" s="1"/>
  <c r="D91" i="4" a="1"/>
  <c r="D91" i="4" s="1"/>
  <c r="D90" i="4" a="1"/>
  <c r="D90" i="4" s="1"/>
  <c r="D89" i="4" a="1"/>
  <c r="D89" i="4" s="1"/>
  <c r="D88" i="4" a="1"/>
  <c r="D88" i="4" s="1"/>
  <c r="D87" i="4" a="1"/>
  <c r="D87" i="4" s="1"/>
  <c r="D86" i="4" a="1"/>
  <c r="D86" i="4" s="1"/>
  <c r="D85" i="4" a="1"/>
  <c r="D85" i="4" s="1"/>
  <c r="D84" i="4" a="1"/>
  <c r="D84" i="4" s="1"/>
  <c r="D83" i="4" a="1"/>
  <c r="D83" i="4" s="1"/>
  <c r="D82" i="4" a="1"/>
  <c r="D82" i="4" s="1"/>
  <c r="D81" i="4" a="1"/>
  <c r="D81" i="4" s="1"/>
  <c r="D80" i="4" a="1"/>
  <c r="D80" i="4" s="1"/>
  <c r="D79" i="4" a="1"/>
  <c r="D79" i="4" s="1"/>
  <c r="D78" i="4" a="1"/>
  <c r="D78" i="4" s="1"/>
  <c r="D77" i="4" a="1"/>
  <c r="D77" i="4" s="1"/>
  <c r="D76" i="4" a="1"/>
  <c r="D76" i="4" s="1"/>
  <c r="D75" i="4" a="1"/>
  <c r="D75" i="4" s="1"/>
  <c r="D74" i="4" a="1"/>
  <c r="D74" i="4" s="1"/>
  <c r="D73" i="4" a="1"/>
  <c r="D73" i="4" s="1"/>
  <c r="D72" i="4" a="1"/>
  <c r="D72" i="4" s="1"/>
  <c r="D71" i="4" a="1"/>
  <c r="D71" i="4" s="1"/>
  <c r="D70" i="4" a="1"/>
  <c r="D70" i="4" s="1"/>
  <c r="D69" i="4" a="1"/>
  <c r="D69" i="4" s="1"/>
  <c r="D68" i="4" a="1"/>
  <c r="D68" i="4" s="1"/>
  <c r="D67" i="4" a="1"/>
  <c r="D67" i="4" s="1"/>
  <c r="D66" i="4" a="1"/>
  <c r="D66" i="4" s="1"/>
  <c r="D65" i="4" a="1"/>
  <c r="D65" i="4" s="1"/>
  <c r="D64" i="4" a="1"/>
  <c r="D64" i="4" s="1"/>
  <c r="D63" i="4" a="1"/>
  <c r="D63" i="4" s="1"/>
  <c r="D62" i="4" a="1"/>
  <c r="D62" i="4" s="1"/>
  <c r="D61" i="4" a="1"/>
  <c r="D61" i="4" s="1"/>
  <c r="D60" i="4" a="1"/>
  <c r="D60" i="4" s="1"/>
  <c r="D59" i="4" a="1"/>
  <c r="D59" i="4" s="1"/>
  <c r="D58" i="4" a="1"/>
  <c r="D58" i="4" s="1"/>
  <c r="D57" i="4" a="1"/>
  <c r="D57" i="4" s="1"/>
  <c r="D56" i="4" a="1"/>
  <c r="D56" i="4" s="1"/>
  <c r="D55" i="4" a="1"/>
  <c r="D55" i="4" s="1"/>
  <c r="D54" i="4" a="1"/>
  <c r="D54" i="4" s="1"/>
  <c r="D53" i="4" a="1"/>
  <c r="D53" i="4" s="1"/>
  <c r="D52" i="4" a="1"/>
  <c r="D52" i="4" s="1"/>
  <c r="D51" i="4" a="1"/>
  <c r="D51" i="4" s="1"/>
  <c r="D50" i="4" a="1"/>
  <c r="D50" i="4" s="1"/>
  <c r="D49" i="4" a="1"/>
  <c r="D49" i="4" s="1"/>
  <c r="D48" i="4" a="1"/>
  <c r="D48" i="4" s="1"/>
  <c r="D47" i="4" a="1"/>
  <c r="D47" i="4" s="1"/>
  <c r="D46" i="4" a="1"/>
  <c r="D46" i="4" s="1"/>
  <c r="D45" i="4" a="1"/>
  <c r="D45" i="4" s="1"/>
  <c r="D44" i="4" a="1"/>
  <c r="D44" i="4" s="1"/>
  <c r="D43" i="4" a="1"/>
  <c r="D43" i="4" s="1"/>
  <c r="D42" i="4" a="1"/>
  <c r="D42" i="4" s="1"/>
  <c r="D41" i="4" a="1"/>
  <c r="D41" i="4" s="1"/>
  <c r="D40" i="4" a="1"/>
  <c r="D40" i="4" s="1"/>
  <c r="D39" i="4" a="1"/>
  <c r="D39" i="4" s="1"/>
  <c r="D38" i="4" a="1"/>
  <c r="D38" i="4" s="1"/>
  <c r="D37" i="4" a="1"/>
  <c r="D37" i="4" s="1"/>
  <c r="D36" i="4" a="1"/>
  <c r="D36" i="4" s="1"/>
  <c r="D35" i="4" a="1"/>
  <c r="D35" i="4" s="1"/>
  <c r="D34" i="4" a="1"/>
  <c r="D34" i="4" s="1"/>
  <c r="D33" i="4" a="1"/>
  <c r="D33" i="4" s="1"/>
  <c r="D32" i="4" a="1"/>
  <c r="D32" i="4" s="1"/>
  <c r="D31" i="4" a="1"/>
  <c r="D31" i="4" s="1"/>
  <c r="D30" i="4" a="1"/>
  <c r="D30" i="4" s="1"/>
  <c r="D29" i="4" a="1"/>
  <c r="D29" i="4" s="1"/>
  <c r="D28" i="4" a="1"/>
  <c r="D28" i="4" s="1"/>
  <c r="D27" i="4" a="1"/>
  <c r="D27" i="4" s="1"/>
  <c r="D26" i="4" a="1"/>
  <c r="D26" i="4" s="1"/>
  <c r="D25" i="4" a="1"/>
  <c r="D25" i="4" s="1"/>
  <c r="D24" i="4" a="1"/>
  <c r="D24" i="4" s="1"/>
  <c r="D23" i="4" a="1"/>
  <c r="D23" i="4" s="1"/>
  <c r="D22" i="4" a="1"/>
  <c r="D22" i="4" s="1"/>
  <c r="D21" i="4" a="1"/>
  <c r="D21" i="4" s="1"/>
  <c r="D20" i="4" a="1"/>
  <c r="D20" i="4" s="1"/>
  <c r="D19" i="4" a="1"/>
  <c r="D19" i="4" s="1"/>
  <c r="D18" i="4" a="1"/>
  <c r="D18" i="4" s="1"/>
  <c r="D17" i="4" a="1"/>
  <c r="D17" i="4" s="1"/>
  <c r="D16" i="4" a="1"/>
  <c r="D16" i="4" s="1"/>
  <c r="D15" i="4" a="1"/>
  <c r="D15" i="4" s="1"/>
  <c r="D14" i="4" a="1"/>
  <c r="D14" i="4" s="1"/>
  <c r="D13" i="4" a="1"/>
  <c r="D13" i="4" s="1"/>
  <c r="D12" i="4" a="1"/>
  <c r="D12" i="4" s="1"/>
  <c r="D11" i="4" a="1"/>
  <c r="D11" i="4" s="1"/>
  <c r="D10" i="4" a="1"/>
  <c r="D10" i="4" s="1"/>
  <c r="D9" i="4" a="1"/>
  <c r="D9" i="4" s="1"/>
  <c r="D8" i="4" a="1"/>
  <c r="D8" i="4" s="1"/>
  <c r="D7" i="4" a="1"/>
  <c r="D7" i="4" s="1"/>
  <c r="D6" i="4" a="1"/>
  <c r="D6" i="4" s="1"/>
  <c r="D5" i="4" a="1"/>
  <c r="D5" i="4" s="1"/>
  <c r="D4" i="4" a="1"/>
  <c r="D4" i="4" s="1"/>
  <c r="D3" i="4" a="1"/>
  <c r="D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<sst xmlns="http://schemas.openxmlformats.org/spreadsheetml/2006/main" count="17" uniqueCount="17">
  <si>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Date and Time Run 2</t>
  </si>
  <si>
    <t>Time (s) Run 2</t>
  </si>
  <si>
    <t>Angular Acceleration (rad/s²) Run 2</t>
  </si>
  <si>
    <t>Date and Time Run 3</t>
  </si>
  <si>
    <t>Time (s) Run 3</t>
  </si>
  <si>
    <t>Angular Acceleration (rad/s²) Run 3</t>
  </si>
  <si>
    <t>Date and Time Run 4</t>
  </si>
  <si>
    <t>Time (s) Run 4</t>
  </si>
  <si>
    <t>Angular Acceleration (rad/s²) Run 4</t>
  </si>
  <si>
    <t>Date and Time Run 5</t>
  </si>
  <si>
    <t>Time (s) Run 5</t>
  </si>
  <si>
    <t>Angular Acceleration (rad/s²) Run 5</t>
  </si>
  <si>
    <t>I (MOM)</t>
  </si>
  <si>
    <t>I (MOM</t>
  </si>
  <si>
    <t>I avg</t>
  </si>
  <si>
    <t>I_avg</t>
  </si>
  <si>
    <t>I_wheel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</si>
</sst>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D487F-9FD5-4A05-A305-5B4EC85E31D2}">
  <dimension ref="A1:E87"/>
  <sheetViews>
    <sheetView workbookViewId="0">
      <selection activeCell="E3" sqref="E3"/>
    </sheetView>
  </sheetViews>
  <sheetFormatPr defaultRowHeight="15" x14ac:dyDescent="0.25"/>
  <cols>
    <col min="1" max="1" width="22.7109375" customWidth="1"/>
    <col min="2" max="2" width="18.28515625" customWidth="1"/>
    <col min="3" max="3" width="33.140625" customWidth="1"/>
    <col min="4" max="4" width="16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13</v>
      </c>
      <c r="E1" t="s">
        <v>14</v>
      </c>
    </row>
    <row r="2" spans="1:5" x14ac:dyDescent="0.25">
      <c r="A2" s="1">
        <v>45691.630266203705</v>
      </c>
      <c r="B2">
        <v>0.08</v>
      </c>
      <c r="C2">
        <v>-6.8719999999999999</v>
      </c>
      <c r="D2" cm="1">
        <f t="array" ref="D2">(rad*mass*grav)/-C2-mass*rad^2</f>
        <v>5.1561426513387662E-4</v>
      </c>
      <c r="E2">
        <f>AVERAGE(D2:D87)</f>
        <v>7.8394499064037275E-4</v>
      </c>
    </row>
    <row r="3" spans="1:5" x14ac:dyDescent="0.25">
      <c r="A3" s="1">
        <v>45691.630266203705</v>
      </c>
      <c r="B3">
        <v>0.12</v>
      </c>
      <c r="C3">
        <v>-6.8179999999999996</v>
      </c>
      <c r="D3" cm="1">
        <f t="array" ref="D3">(rad*mass*grav)/-C3-mass*rad^2</f>
        <v>5.1976935061601648E-4</v>
      </c>
    </row>
    <row r="4" spans="1:5" x14ac:dyDescent="0.25">
      <c r="A4" s="1">
        <v>45691.630266203705</v>
      </c>
      <c r="B4">
        <v>0.16</v>
      </c>
      <c r="C4">
        <v>-6.6539999999999999</v>
      </c>
      <c r="D4" cm="1">
        <f t="array" ref="D4">(rad*mass*grav)/-C4-mass*rad^2</f>
        <v>5.3280193079350766E-4</v>
      </c>
    </row>
    <row r="5" spans="1:5" x14ac:dyDescent="0.25">
      <c r="A5" s="1">
        <v>45691.630266203705</v>
      </c>
      <c r="B5">
        <v>0.2</v>
      </c>
      <c r="C5">
        <v>-6.3810000000000002</v>
      </c>
      <c r="D5" cm="1">
        <f t="array" ref="D5">(rad*mass*grav)/-C5-mass*rad^2</f>
        <v>5.559821456276446E-4</v>
      </c>
    </row>
    <row r="6" spans="1:5" x14ac:dyDescent="0.25">
      <c r="A6" s="1">
        <v>45691.630266203705</v>
      </c>
      <c r="B6">
        <v>0.24</v>
      </c>
      <c r="C6">
        <v>-6.1630000000000003</v>
      </c>
      <c r="D6" cm="1">
        <f t="array" ref="D6">(rad*mass*grav)/-C6-mass*rad^2</f>
        <v>5.7596704344475087E-4</v>
      </c>
    </row>
    <row r="7" spans="1:5" x14ac:dyDescent="0.25">
      <c r="A7" s="1">
        <v>45691.630266203705</v>
      </c>
      <c r="B7">
        <v>0.28000000000000003</v>
      </c>
      <c r="C7">
        <v>-6.109</v>
      </c>
      <c r="D7" cm="1">
        <f t="array" ref="D7">(rad*mass*grav)/-C7-mass*rad^2</f>
        <v>5.8113784436896387E-4</v>
      </c>
    </row>
    <row r="8" spans="1:5" x14ac:dyDescent="0.25">
      <c r="A8" s="1">
        <v>45691.630266203705</v>
      </c>
      <c r="B8">
        <v>0.32</v>
      </c>
      <c r="C8">
        <v>-6.1630000000000003</v>
      </c>
      <c r="D8" cm="1">
        <f t="array" ref="D8">(rad*mass*grav)/-C8-mass*rad^2</f>
        <v>5.7596704344475087E-4</v>
      </c>
    </row>
    <row r="9" spans="1:5" x14ac:dyDescent="0.25">
      <c r="A9" s="1">
        <v>45691.630266203705</v>
      </c>
      <c r="B9">
        <v>0.36</v>
      </c>
      <c r="C9">
        <v>-6.1630000000000003</v>
      </c>
      <c r="D9" cm="1">
        <f t="array" ref="D9">(rad*mass*grav)/-C9-mass*rad^2</f>
        <v>5.7596704344475087E-4</v>
      </c>
    </row>
    <row r="10" spans="1:5" x14ac:dyDescent="0.25">
      <c r="A10" s="1">
        <v>45691.630266203705</v>
      </c>
      <c r="B10">
        <v>0.4</v>
      </c>
      <c r="C10">
        <v>-6.0540000000000003</v>
      </c>
      <c r="D10" cm="1">
        <f t="array" ref="D10">(rad*mass*grav)/-C10-mass*rad^2</f>
        <v>5.8649922324083249E-4</v>
      </c>
    </row>
    <row r="11" spans="1:5" x14ac:dyDescent="0.25">
      <c r="A11" s="1">
        <v>45691.630266203705</v>
      </c>
      <c r="B11">
        <v>0.44</v>
      </c>
      <c r="C11">
        <v>-6</v>
      </c>
      <c r="D11" cm="1">
        <f t="array" ref="D11">(rad*mass*grav)/-C11-mass*rad^2</f>
        <v>5.9185875000000005E-4</v>
      </c>
    </row>
    <row r="12" spans="1:5" x14ac:dyDescent="0.25">
      <c r="A12" s="1">
        <v>45691.630266203705</v>
      </c>
      <c r="B12">
        <v>0.48</v>
      </c>
      <c r="C12">
        <v>-6.0540000000000003</v>
      </c>
      <c r="D12" cm="1">
        <f t="array" ref="D12">(rad*mass*grav)/-C12-mass*rad^2</f>
        <v>5.8649922324083249E-4</v>
      </c>
    </row>
    <row r="13" spans="1:5" x14ac:dyDescent="0.25">
      <c r="A13" s="1">
        <v>45691.630266203705</v>
      </c>
      <c r="B13">
        <v>0.52</v>
      </c>
      <c r="C13">
        <v>-6.218</v>
      </c>
      <c r="D13" cm="1">
        <f t="array" ref="D13">(rad*mass*grav)/-C13-mass*rad^2</f>
        <v>5.7079280837889993E-4</v>
      </c>
    </row>
    <row r="14" spans="1:5" x14ac:dyDescent="0.25">
      <c r="A14" s="1">
        <v>45691.630266203705</v>
      </c>
      <c r="B14">
        <v>0.56000000000000005</v>
      </c>
      <c r="C14">
        <v>-6.327</v>
      </c>
      <c r="D14" cm="1">
        <f t="array" ref="D14">(rad*mass*grav)/-C14-mass*rad^2</f>
        <v>5.6080421586059744E-4</v>
      </c>
    </row>
    <row r="15" spans="1:5" x14ac:dyDescent="0.25">
      <c r="A15" s="1">
        <v>45691.630266203705</v>
      </c>
      <c r="B15">
        <v>0.6</v>
      </c>
      <c r="C15">
        <v>-6.327</v>
      </c>
      <c r="D15" cm="1">
        <f t="array" ref="D15">(rad*mass*grav)/-C15-mass*rad^2</f>
        <v>5.6080421586059744E-4</v>
      </c>
    </row>
    <row r="16" spans="1:5" x14ac:dyDescent="0.25">
      <c r="A16" s="1">
        <v>45691.630266203705</v>
      </c>
      <c r="B16">
        <v>0.64</v>
      </c>
      <c r="C16">
        <v>-6.2720000000000002</v>
      </c>
      <c r="D16" cm="1">
        <f t="array" ref="D16">(rad*mass*grav)/-C16-mass*rad^2</f>
        <v>5.6580093750000003E-4</v>
      </c>
    </row>
    <row r="17" spans="1:4" x14ac:dyDescent="0.25">
      <c r="A17" s="1">
        <v>45691.630266203705</v>
      </c>
      <c r="B17">
        <v>0.68</v>
      </c>
      <c r="C17">
        <v>-6.218</v>
      </c>
      <c r="D17" cm="1">
        <f t="array" ref="D17">(rad*mass*grav)/-C17-mass*rad^2</f>
        <v>5.7079280837889993E-4</v>
      </c>
    </row>
    <row r="18" spans="1:4" x14ac:dyDescent="0.25">
      <c r="A18" s="1">
        <v>45691.630266203705</v>
      </c>
      <c r="B18">
        <v>0.72</v>
      </c>
      <c r="C18">
        <v>-6.2720000000000002</v>
      </c>
      <c r="D18" cm="1">
        <f t="array" ref="D18">(rad*mass*grav)/-C18-mass*rad^2</f>
        <v>5.6580093750000003E-4</v>
      </c>
    </row>
    <row r="19" spans="1:4" x14ac:dyDescent="0.25">
      <c r="A19" s="1">
        <v>45691.630266203705</v>
      </c>
      <c r="B19">
        <v>0.76</v>
      </c>
      <c r="C19">
        <v>-6.3810000000000002</v>
      </c>
      <c r="D19" cm="1">
        <f t="array" ref="D19">(rad*mass*grav)/-C19-mass*rad^2</f>
        <v>5.559821456276446E-4</v>
      </c>
    </row>
    <row r="20" spans="1:4" x14ac:dyDescent="0.25">
      <c r="A20" s="1">
        <v>45691.630266203705</v>
      </c>
      <c r="B20">
        <v>0.8</v>
      </c>
      <c r="C20">
        <v>-6.4359999999999999</v>
      </c>
      <c r="D20" cm="1">
        <f t="array" ref="D20">(rad*mass*grav)/-C20-mass*rad^2</f>
        <v>5.5115395665009321E-4</v>
      </c>
    </row>
    <row r="21" spans="1:4" x14ac:dyDescent="0.25">
      <c r="A21" s="1">
        <v>45691.630266203705</v>
      </c>
      <c r="B21">
        <v>0.84</v>
      </c>
      <c r="C21">
        <v>-6.2720000000000002</v>
      </c>
      <c r="D21" cm="1">
        <f t="array" ref="D21">(rad*mass*grav)/-C21-mass*rad^2</f>
        <v>5.6580093750000003E-4</v>
      </c>
    </row>
    <row r="22" spans="1:4" x14ac:dyDescent="0.25">
      <c r="A22" s="1">
        <v>45691.630266203705</v>
      </c>
      <c r="B22">
        <v>0.88</v>
      </c>
      <c r="C22">
        <v>-5.8360000000000003</v>
      </c>
      <c r="D22" cm="1">
        <f t="array" ref="D22">(rad*mass*grav)/-C22-mass*rad^2</f>
        <v>6.0874385109664154E-4</v>
      </c>
    </row>
    <row r="23" spans="1:4" x14ac:dyDescent="0.25">
      <c r="A23" s="1">
        <v>45691.630266203705</v>
      </c>
      <c r="B23">
        <v>0.92</v>
      </c>
      <c r="C23">
        <v>-5.3449999999999998</v>
      </c>
      <c r="D23" cm="1">
        <f t="array" ref="D23">(rad*mass*grav)/-C23-mass*rad^2</f>
        <v>6.654911050046773E-4</v>
      </c>
    </row>
    <row r="24" spans="1:4" x14ac:dyDescent="0.25">
      <c r="A24" s="1">
        <v>45691.630266203705</v>
      </c>
      <c r="B24">
        <v>0.96</v>
      </c>
      <c r="C24">
        <v>-5.0720000000000001</v>
      </c>
      <c r="D24" cm="1">
        <f t="array" ref="D24">(rad*mass*grav)/-C24-mass*rad^2</f>
        <v>7.0179573738170351E-4</v>
      </c>
    </row>
    <row r="25" spans="1:4" x14ac:dyDescent="0.25">
      <c r="A25" s="1">
        <v>45691.630277777775</v>
      </c>
      <c r="B25">
        <v>1</v>
      </c>
      <c r="C25">
        <v>-4.9630000000000001</v>
      </c>
      <c r="D25" cm="1">
        <f t="array" ref="D25">(rad*mass*grav)/-C25-mass*rad^2</f>
        <v>7.1740668723554307E-4</v>
      </c>
    </row>
    <row r="26" spans="1:4" x14ac:dyDescent="0.25">
      <c r="A26" s="1">
        <v>45691.630277777775</v>
      </c>
      <c r="B26">
        <v>1.04</v>
      </c>
      <c r="C26">
        <v>-4.8540000000000001</v>
      </c>
      <c r="D26" cm="1">
        <f t="array" ref="D26">(rad*mass*grav)/-C26-mass*rad^2</f>
        <v>7.3371874690976511E-4</v>
      </c>
    </row>
    <row r="27" spans="1:4" x14ac:dyDescent="0.25">
      <c r="A27" s="1">
        <v>45691.630277777775</v>
      </c>
      <c r="B27">
        <v>1.08</v>
      </c>
      <c r="C27">
        <v>-4.7450000000000001</v>
      </c>
      <c r="D27" cm="1">
        <f t="array" ref="D27">(rad*mass*grav)/-C27-mass*rad^2</f>
        <v>7.5078023314014753E-4</v>
      </c>
    </row>
    <row r="28" spans="1:4" x14ac:dyDescent="0.25">
      <c r="A28" s="1">
        <v>45691.630277777775</v>
      </c>
      <c r="B28">
        <v>1.1200000000000001</v>
      </c>
      <c r="C28">
        <v>-4.9089999999999998</v>
      </c>
      <c r="D28" cm="1">
        <f t="array" ref="D28">(rad*mass*grav)/-C28-mass*rad^2</f>
        <v>7.2539735002037078E-4</v>
      </c>
    </row>
    <row r="29" spans="1:4" x14ac:dyDescent="0.25">
      <c r="A29" s="1">
        <v>45691.630277777775</v>
      </c>
      <c r="B29">
        <v>1.1599999999999999</v>
      </c>
      <c r="C29">
        <v>-5.4</v>
      </c>
      <c r="D29" cm="1">
        <f t="array" ref="D29">(rad*mass*grav)/-C29-mass*rad^2</f>
        <v>6.5862124999999994E-4</v>
      </c>
    </row>
    <row r="30" spans="1:4" x14ac:dyDescent="0.25">
      <c r="A30" s="1">
        <v>45691.630277777775</v>
      </c>
      <c r="B30">
        <v>1.2</v>
      </c>
      <c r="C30">
        <v>-5.8360000000000003</v>
      </c>
      <c r="D30" cm="1">
        <f t="array" ref="D30">(rad*mass*grav)/-C30-mass*rad^2</f>
        <v>6.0874385109664154E-4</v>
      </c>
    </row>
    <row r="31" spans="1:4" x14ac:dyDescent="0.25">
      <c r="A31" s="1">
        <v>45691.630277777775</v>
      </c>
      <c r="B31">
        <v>1.24</v>
      </c>
      <c r="C31">
        <v>-6</v>
      </c>
      <c r="D31" cm="1">
        <f t="array" ref="D31">(rad*mass*grav)/-C31-mass*rad^2</f>
        <v>5.9185875000000005E-4</v>
      </c>
    </row>
    <row r="32" spans="1:4" x14ac:dyDescent="0.25">
      <c r="A32" s="1">
        <v>45691.630277777775</v>
      </c>
      <c r="B32">
        <v>1.28</v>
      </c>
      <c r="C32">
        <v>-5.9450000000000003</v>
      </c>
      <c r="D32" cm="1">
        <f t="array" ref="D32">(rad*mass*grav)/-C32-mass*rad^2</f>
        <v>5.9741761248948691E-4</v>
      </c>
    </row>
    <row r="33" spans="1:4" x14ac:dyDescent="0.25">
      <c r="A33" s="1">
        <v>45691.630277777775</v>
      </c>
      <c r="B33">
        <v>1.32</v>
      </c>
      <c r="C33">
        <v>-5.89</v>
      </c>
      <c r="D33" cm="1">
        <f t="array" ref="D33">(rad*mass*grav)/-C33-mass*rad^2</f>
        <v>6.0308029074702886E-4</v>
      </c>
    </row>
    <row r="34" spans="1:4" x14ac:dyDescent="0.25">
      <c r="A34" s="1">
        <v>45691.630277777775</v>
      </c>
      <c r="B34">
        <v>1.36</v>
      </c>
      <c r="C34">
        <v>-5.7809999999999997</v>
      </c>
      <c r="D34" cm="1">
        <f t="array" ref="D34">(rad*mass*grav)/-C34-mass*rad^2</f>
        <v>6.1462105539699015E-4</v>
      </c>
    </row>
    <row r="35" spans="1:4" x14ac:dyDescent="0.25">
      <c r="A35" s="1">
        <v>45691.630277777775</v>
      </c>
      <c r="B35">
        <v>1.4</v>
      </c>
      <c r="C35">
        <v>-5.4539999999999997</v>
      </c>
      <c r="D35" cm="1">
        <f t="array" ref="D35">(rad*mass*grav)/-C35-mass*rad^2</f>
        <v>6.520111014851486E-4</v>
      </c>
    </row>
    <row r="36" spans="1:4" x14ac:dyDescent="0.25">
      <c r="A36" s="1">
        <v>45691.630277777775</v>
      </c>
      <c r="B36">
        <v>1.44</v>
      </c>
      <c r="C36">
        <v>-4.9630000000000001</v>
      </c>
      <c r="D36" cm="1">
        <f t="array" ref="D36">(rad*mass*grav)/-C36-mass*rad^2</f>
        <v>7.1740668723554307E-4</v>
      </c>
    </row>
    <row r="37" spans="1:4" x14ac:dyDescent="0.25">
      <c r="A37" s="1">
        <v>45691.630277777775</v>
      </c>
      <c r="B37">
        <v>1.48</v>
      </c>
      <c r="C37">
        <v>-4.4720000000000004</v>
      </c>
      <c r="D37" cm="1">
        <f t="array" ref="D37">(rad*mass*grav)/-C37-mass*rad^2</f>
        <v>7.9716239490160992E-4</v>
      </c>
    </row>
    <row r="38" spans="1:4" x14ac:dyDescent="0.25">
      <c r="A38" s="1">
        <v>45691.630277777775</v>
      </c>
      <c r="B38">
        <v>1.52</v>
      </c>
      <c r="C38">
        <v>-4.2</v>
      </c>
      <c r="D38" cm="1">
        <f t="array" ref="D38">(rad*mass*grav)/-C38-mass*rad^2</f>
        <v>8.4937125E-4</v>
      </c>
    </row>
    <row r="39" spans="1:4" x14ac:dyDescent="0.25">
      <c r="A39" s="1">
        <v>45691.630277777775</v>
      </c>
      <c r="B39">
        <v>1.56</v>
      </c>
      <c r="C39">
        <v>-4.2</v>
      </c>
      <c r="D39" cm="1">
        <f t="array" ref="D39">(rad*mass*grav)/-C39-mass*rad^2</f>
        <v>8.4937125E-4</v>
      </c>
    </row>
    <row r="40" spans="1:4" x14ac:dyDescent="0.25">
      <c r="A40" s="1">
        <v>45691.630277777775</v>
      </c>
      <c r="B40">
        <v>1.6</v>
      </c>
      <c r="C40">
        <v>-4.4720000000000004</v>
      </c>
      <c r="D40" cm="1">
        <f t="array" ref="D40">(rad*mass*grav)/-C40-mass*rad^2</f>
        <v>7.9716239490160992E-4</v>
      </c>
    </row>
    <row r="41" spans="1:4" x14ac:dyDescent="0.25">
      <c r="A41" s="1">
        <v>45691.630277777775</v>
      </c>
      <c r="B41">
        <v>1.64</v>
      </c>
      <c r="C41">
        <v>-4.9630000000000001</v>
      </c>
      <c r="D41" cm="1">
        <f t="array" ref="D41">(rad*mass*grav)/-C41-mass*rad^2</f>
        <v>7.1740668723554307E-4</v>
      </c>
    </row>
    <row r="42" spans="1:4" x14ac:dyDescent="0.25">
      <c r="A42" s="1">
        <v>45691.630277777775</v>
      </c>
      <c r="B42">
        <v>1.68</v>
      </c>
      <c r="C42">
        <v>-5.4539999999999997</v>
      </c>
      <c r="D42" cm="1">
        <f t="array" ref="D42">(rad*mass*grav)/-C42-mass*rad^2</f>
        <v>6.520111014851486E-4</v>
      </c>
    </row>
    <row r="43" spans="1:4" x14ac:dyDescent="0.25">
      <c r="A43" s="1">
        <v>45691.630277777775</v>
      </c>
      <c r="B43">
        <v>1.72</v>
      </c>
      <c r="C43">
        <v>-5.7809999999999997</v>
      </c>
      <c r="D43" cm="1">
        <f t="array" ref="D43">(rad*mass*grav)/-C43-mass*rad^2</f>
        <v>6.1462105539699015E-4</v>
      </c>
    </row>
    <row r="44" spans="1:4" x14ac:dyDescent="0.25">
      <c r="A44" s="1">
        <v>45691.630277777775</v>
      </c>
      <c r="B44">
        <v>1.76</v>
      </c>
      <c r="C44">
        <v>-5.7809999999999997</v>
      </c>
      <c r="D44" cm="1">
        <f t="array" ref="D44">(rad*mass*grav)/-C44-mass*rad^2</f>
        <v>6.1462105539699015E-4</v>
      </c>
    </row>
    <row r="45" spans="1:4" x14ac:dyDescent="0.25">
      <c r="A45" s="1">
        <v>45691.630277777775</v>
      </c>
      <c r="B45">
        <v>1.8</v>
      </c>
      <c r="C45">
        <v>-5.5090000000000003</v>
      </c>
      <c r="D45" cm="1">
        <f t="array" ref="D45">(rad*mass*grav)/-C45-mass*rad^2</f>
        <v>6.4541175190597198E-4</v>
      </c>
    </row>
    <row r="46" spans="1:4" x14ac:dyDescent="0.25">
      <c r="A46" s="1">
        <v>45691.630277777775</v>
      </c>
      <c r="B46">
        <v>1.84</v>
      </c>
      <c r="C46">
        <v>-5.0720000000000001</v>
      </c>
      <c r="D46" cm="1">
        <f t="array" ref="D46">(rad*mass*grav)/-C46-mass*rad^2</f>
        <v>7.0179573738170351E-4</v>
      </c>
    </row>
    <row r="47" spans="1:4" x14ac:dyDescent="0.25">
      <c r="A47" s="1">
        <v>45691.630277777775</v>
      </c>
      <c r="B47">
        <v>1.88</v>
      </c>
      <c r="C47">
        <v>-4.5270000000000001</v>
      </c>
      <c r="D47" cm="1">
        <f t="array" ref="D47">(rad*mass*grav)/-C47-mass*rad^2</f>
        <v>7.8736801938369776E-4</v>
      </c>
    </row>
    <row r="48" spans="1:4" x14ac:dyDescent="0.25">
      <c r="A48" s="1">
        <v>45691.630277777775</v>
      </c>
      <c r="B48">
        <v>1.92</v>
      </c>
      <c r="C48">
        <v>-4.0359999999999996</v>
      </c>
      <c r="D48" cm="1">
        <f t="array" ref="D48">(rad*mass*grav)/-C48-mass*rad^2</f>
        <v>8.8425070986124883E-4</v>
      </c>
    </row>
    <row r="49" spans="1:4" x14ac:dyDescent="0.25">
      <c r="A49" s="1">
        <v>45691.630277777775</v>
      </c>
      <c r="B49">
        <v>1.96</v>
      </c>
      <c r="C49">
        <v>-3.7629999999999999</v>
      </c>
      <c r="D49" cm="1">
        <f t="array" ref="D49">(rad*mass*grav)/-C49-mass*rad^2</f>
        <v>9.4905497973691211E-4</v>
      </c>
    </row>
    <row r="50" spans="1:4" x14ac:dyDescent="0.25">
      <c r="A50" s="1">
        <v>45691.630289351851</v>
      </c>
      <c r="B50">
        <v>2</v>
      </c>
      <c r="C50">
        <v>-3.927</v>
      </c>
      <c r="D50" cm="1">
        <f t="array" ref="D50">(rad*mass*grav)/-C50-mass*rad^2</f>
        <v>9.0904437834224601E-4</v>
      </c>
    </row>
    <row r="51" spans="1:4" x14ac:dyDescent="0.25">
      <c r="A51" s="1">
        <v>45691.630289351851</v>
      </c>
      <c r="B51">
        <v>2.04</v>
      </c>
      <c r="C51">
        <v>-4.4180000000000001</v>
      </c>
      <c r="D51" cm="1">
        <f t="array" ref="D51">(rad*mass*grav)/-C51-mass*rad^2</f>
        <v>8.0701594216840201E-4</v>
      </c>
    </row>
    <row r="52" spans="1:4" x14ac:dyDescent="0.25">
      <c r="A52" s="1">
        <v>45691.630289351851</v>
      </c>
      <c r="B52">
        <v>2.08</v>
      </c>
      <c r="C52">
        <v>-4.9089999999999998</v>
      </c>
      <c r="D52" cm="1">
        <f t="array" ref="D52">(rad*mass*grav)/-C52-mass*rad^2</f>
        <v>7.2539735002037078E-4</v>
      </c>
    </row>
    <row r="53" spans="1:4" x14ac:dyDescent="0.25">
      <c r="A53" s="1">
        <v>45691.630289351851</v>
      </c>
      <c r="B53">
        <v>2.12</v>
      </c>
      <c r="C53">
        <v>-5.2359999999999998</v>
      </c>
      <c r="D53" cm="1">
        <f t="array" ref="D53">(rad*mass*grav)/-C53-mass*rad^2</f>
        <v>6.7953234625668451E-4</v>
      </c>
    </row>
    <row r="54" spans="1:4" x14ac:dyDescent="0.25">
      <c r="A54" s="1">
        <v>45691.630289351851</v>
      </c>
      <c r="B54">
        <v>2.16</v>
      </c>
      <c r="C54">
        <v>-5.2910000000000004</v>
      </c>
      <c r="D54" cm="1">
        <f t="array" ref="D54">(rad*mass*grav)/-C54-mass*rad^2</f>
        <v>6.7237500637875637E-4</v>
      </c>
    </row>
    <row r="55" spans="1:4" x14ac:dyDescent="0.25">
      <c r="A55" s="1">
        <v>45691.630289351851</v>
      </c>
      <c r="B55">
        <v>2.2000000000000002</v>
      </c>
      <c r="C55">
        <v>-5.1269999999999998</v>
      </c>
      <c r="D55" cm="1">
        <f t="array" ref="D55">(rad*mass*grav)/-C55-mass*rad^2</f>
        <v>6.9417062097717965E-4</v>
      </c>
    </row>
    <row r="56" spans="1:4" x14ac:dyDescent="0.25">
      <c r="A56" s="1">
        <v>45691.630289351851</v>
      </c>
      <c r="B56">
        <v>2.2400000000000002</v>
      </c>
      <c r="C56">
        <v>-4.7450000000000001</v>
      </c>
      <c r="D56" cm="1">
        <f t="array" ref="D56">(rad*mass*grav)/-C56-mass*rad^2</f>
        <v>7.5078023314014753E-4</v>
      </c>
    </row>
    <row r="57" spans="1:4" x14ac:dyDescent="0.25">
      <c r="A57" s="1">
        <v>45691.630289351851</v>
      </c>
      <c r="B57">
        <v>2.2799999999999998</v>
      </c>
      <c r="C57">
        <v>-4.2</v>
      </c>
      <c r="D57" cm="1">
        <f t="array" ref="D57">(rad*mass*grav)/-C57-mass*rad^2</f>
        <v>8.4937125E-4</v>
      </c>
    </row>
    <row r="58" spans="1:4" x14ac:dyDescent="0.25">
      <c r="A58" s="1">
        <v>45691.630289351851</v>
      </c>
      <c r="B58">
        <v>2.3199999999999998</v>
      </c>
      <c r="C58">
        <v>-3.6539999999999999</v>
      </c>
      <c r="D58" cm="1">
        <f t="array" ref="D58">(rad*mass*grav)/-C58-mass*rad^2</f>
        <v>9.7763418103448277E-4</v>
      </c>
    </row>
    <row r="59" spans="1:4" x14ac:dyDescent="0.25">
      <c r="A59" s="1">
        <v>45691.630289351851</v>
      </c>
      <c r="B59">
        <v>2.36</v>
      </c>
      <c r="C59">
        <v>-3.2719999999999998</v>
      </c>
      <c r="D59" cm="1">
        <f t="array" ref="D59">(rad*mass*grav)/-C59-mass*rad^2</f>
        <v>1.0928223502444988E-3</v>
      </c>
    </row>
    <row r="60" spans="1:4" x14ac:dyDescent="0.25">
      <c r="A60" s="1">
        <v>45691.630289351851</v>
      </c>
      <c r="B60">
        <v>2.4</v>
      </c>
      <c r="C60">
        <v>-3.4359999999999999</v>
      </c>
      <c r="D60" cm="1">
        <f t="array" ref="D60">(rad*mass*grav)/-C60-mass*rad^2</f>
        <v>1.0402322802677531E-3</v>
      </c>
    </row>
    <row r="61" spans="1:4" x14ac:dyDescent="0.25">
      <c r="A61" s="1">
        <v>45691.630289351851</v>
      </c>
      <c r="B61">
        <v>2.44</v>
      </c>
      <c r="C61">
        <v>-4.1449999999999996</v>
      </c>
      <c r="D61" cm="1">
        <f t="array" ref="D61">(rad*mass*grav)/-C61-mass*rad^2</f>
        <v>8.6076102683956587E-4</v>
      </c>
    </row>
    <row r="62" spans="1:4" x14ac:dyDescent="0.25">
      <c r="A62" s="1">
        <v>45691.630289351851</v>
      </c>
      <c r="B62">
        <v>2.48</v>
      </c>
      <c r="C62">
        <v>-4.9089999999999998</v>
      </c>
      <c r="D62" cm="1">
        <f t="array" ref="D62">(rad*mass*grav)/-C62-mass*rad^2</f>
        <v>7.2539735002037078E-4</v>
      </c>
    </row>
    <row r="63" spans="1:4" x14ac:dyDescent="0.25">
      <c r="A63" s="1">
        <v>45691.630289351851</v>
      </c>
      <c r="B63">
        <v>2.52</v>
      </c>
      <c r="C63">
        <v>-5.1269999999999998</v>
      </c>
      <c r="D63" cm="1">
        <f t="array" ref="D63">(rad*mass*grav)/-C63-mass*rad^2</f>
        <v>6.9417062097717965E-4</v>
      </c>
    </row>
    <row r="64" spans="1:4" x14ac:dyDescent="0.25">
      <c r="A64" s="1">
        <v>45691.630289351851</v>
      </c>
      <c r="B64">
        <v>2.56</v>
      </c>
      <c r="C64">
        <v>-4.7450000000000001</v>
      </c>
      <c r="D64" cm="1">
        <f t="array" ref="D64">(rad*mass*grav)/-C64-mass*rad^2</f>
        <v>7.5078023314014753E-4</v>
      </c>
    </row>
    <row r="65" spans="1:4" x14ac:dyDescent="0.25">
      <c r="A65" s="1">
        <v>45691.630289351851</v>
      </c>
      <c r="B65">
        <v>2.6</v>
      </c>
      <c r="C65">
        <v>-4.2</v>
      </c>
      <c r="D65" cm="1">
        <f t="array" ref="D65">(rad*mass*grav)/-C65-mass*rad^2</f>
        <v>8.4937125E-4</v>
      </c>
    </row>
    <row r="66" spans="1:4" x14ac:dyDescent="0.25">
      <c r="A66" s="1">
        <v>45691.630289351851</v>
      </c>
      <c r="B66">
        <v>2.64</v>
      </c>
      <c r="C66">
        <v>-3.7090000000000001</v>
      </c>
      <c r="D66" cm="1">
        <f t="array" ref="D66">(rad*mass*grav)/-C66-mass*rad^2</f>
        <v>9.6300352959018598E-4</v>
      </c>
    </row>
    <row r="67" spans="1:4" x14ac:dyDescent="0.25">
      <c r="A67" s="1">
        <v>45691.630289351851</v>
      </c>
      <c r="B67">
        <v>2.68</v>
      </c>
      <c r="C67">
        <v>-3.2719999999999998</v>
      </c>
      <c r="D67" cm="1">
        <f t="array" ref="D67">(rad*mass*grav)/-C67-mass*rad^2</f>
        <v>1.0928223502444988E-3</v>
      </c>
    </row>
    <row r="68" spans="1:4" x14ac:dyDescent="0.25">
      <c r="A68" s="1">
        <v>45691.630289351851</v>
      </c>
      <c r="B68">
        <v>2.72</v>
      </c>
      <c r="C68">
        <v>-3</v>
      </c>
      <c r="D68" cm="1">
        <f t="array" ref="D68">(rad*mass*grav)/-C68-mass*rad^2</f>
        <v>1.19272125E-3</v>
      </c>
    </row>
    <row r="69" spans="1:4" x14ac:dyDescent="0.25">
      <c r="A69" s="1">
        <v>45691.630289351851</v>
      </c>
      <c r="B69">
        <v>2.76</v>
      </c>
      <c r="C69">
        <v>-3.2719999999999998</v>
      </c>
      <c r="D69" cm="1">
        <f t="array" ref="D69">(rad*mass*grav)/-C69-mass*rad^2</f>
        <v>1.0928223502444988E-3</v>
      </c>
    </row>
    <row r="70" spans="1:4" x14ac:dyDescent="0.25">
      <c r="A70" s="1">
        <v>45691.630289351851</v>
      </c>
      <c r="B70">
        <v>2.8</v>
      </c>
      <c r="C70">
        <v>-4.0910000000000002</v>
      </c>
      <c r="D70" cm="1">
        <f t="array" ref="D70">(rad*mass*grav)/-C70-mass*rad^2</f>
        <v>8.7224166676851621E-4</v>
      </c>
    </row>
    <row r="71" spans="1:4" x14ac:dyDescent="0.25">
      <c r="A71" s="1">
        <v>45691.630289351851</v>
      </c>
      <c r="B71">
        <v>2.84</v>
      </c>
      <c r="C71">
        <v>-4.9089999999999998</v>
      </c>
      <c r="D71" cm="1">
        <f t="array" ref="D71">(rad*mass*grav)/-C71-mass*rad^2</f>
        <v>7.2539735002037078E-4</v>
      </c>
    </row>
    <row r="72" spans="1:4" x14ac:dyDescent="0.25">
      <c r="A72" s="1">
        <v>45691.630289351851</v>
      </c>
      <c r="B72">
        <v>2.88</v>
      </c>
      <c r="C72">
        <v>-5.0179999999999998</v>
      </c>
      <c r="D72" cm="1">
        <f t="array" ref="D72">(rad*mass*grav)/-C72-mass*rad^2</f>
        <v>7.0944483509366289E-4</v>
      </c>
    </row>
    <row r="73" spans="1:4" x14ac:dyDescent="0.25">
      <c r="A73" s="1">
        <v>45691.630289351851</v>
      </c>
      <c r="B73">
        <v>2.92</v>
      </c>
      <c r="C73">
        <v>-4.2539999999999996</v>
      </c>
      <c r="D73" cm="1">
        <f t="array" ref="D73">(rad*mass*grav)/-C73-mass*rad^2</f>
        <v>8.38475093441467E-4</v>
      </c>
    </row>
    <row r="74" spans="1:4" x14ac:dyDescent="0.25">
      <c r="A74" s="1">
        <v>45691.630289351851</v>
      </c>
      <c r="B74">
        <v>2.96</v>
      </c>
      <c r="C74">
        <v>-3.1629999999999998</v>
      </c>
      <c r="D74" cm="1">
        <f t="array" ref="D74">(rad*mass*grav)/-C74-mass*rad^2</f>
        <v>1.1307923296711981E-3</v>
      </c>
    </row>
    <row r="75" spans="1:4" x14ac:dyDescent="0.25">
      <c r="A75" s="1">
        <v>45691.630300925928</v>
      </c>
      <c r="B75">
        <v>3</v>
      </c>
      <c r="C75">
        <v>-2.5089999999999999</v>
      </c>
      <c r="D75" cm="1">
        <f t="array" ref="D75">(rad*mass*grav)/-C75-mass*rad^2</f>
        <v>1.4278934201873256E-3</v>
      </c>
    </row>
    <row r="76" spans="1:4" x14ac:dyDescent="0.25">
      <c r="A76" s="1">
        <v>45691.630300925928</v>
      </c>
      <c r="B76">
        <v>3.04</v>
      </c>
      <c r="C76">
        <v>-2.673</v>
      </c>
      <c r="D76" cm="1">
        <f t="array" ref="D76">(rad*mass*grav)/-C76-mass*rad^2</f>
        <v>1.3397336237373737E-3</v>
      </c>
    </row>
    <row r="77" spans="1:4" x14ac:dyDescent="0.25">
      <c r="A77" s="1">
        <v>45691.630300925928</v>
      </c>
      <c r="B77">
        <v>3.08</v>
      </c>
      <c r="C77">
        <v>-3.327</v>
      </c>
      <c r="D77" cm="1">
        <f t="array" ref="D77">(rad*mass*grav)/-C77-mass*rad^2</f>
        <v>1.0746076115870152E-3</v>
      </c>
    </row>
    <row r="78" spans="1:4" x14ac:dyDescent="0.25">
      <c r="A78" s="1">
        <v>45691.630300925928</v>
      </c>
      <c r="B78">
        <v>3.12</v>
      </c>
      <c r="C78">
        <v>-3.9820000000000002</v>
      </c>
      <c r="D78" cm="1">
        <f t="array" ref="D78">(rad*mass*grav)/-C78-mass*rad^2</f>
        <v>8.9636415557508783E-4</v>
      </c>
    </row>
    <row r="79" spans="1:4" x14ac:dyDescent="0.25">
      <c r="A79" s="1">
        <v>45691.630300925928</v>
      </c>
      <c r="B79">
        <v>3.16</v>
      </c>
      <c r="C79">
        <v>-4.3090000000000002</v>
      </c>
      <c r="D79" cm="1">
        <f t="array" ref="D79">(rad*mass*grav)/-C79-mass*rad^2</f>
        <v>8.2765788843119047E-4</v>
      </c>
    </row>
    <row r="80" spans="1:4" x14ac:dyDescent="0.25">
      <c r="A80" s="1">
        <v>45691.630300925928</v>
      </c>
      <c r="B80">
        <v>3.2</v>
      </c>
      <c r="C80">
        <v>-4.2</v>
      </c>
      <c r="D80" cm="1">
        <f t="array" ref="D80">(rad*mass*grav)/-C80-mass*rad^2</f>
        <v>8.4937125E-4</v>
      </c>
    </row>
    <row r="81" spans="1:4" x14ac:dyDescent="0.25">
      <c r="A81" s="1">
        <v>45691.630300925928</v>
      </c>
      <c r="B81">
        <v>3.24</v>
      </c>
      <c r="C81">
        <v>-3.6</v>
      </c>
      <c r="D81" cm="1">
        <f t="array" ref="D81">(rad*mass*grav)/-C81-mass*rad^2</f>
        <v>9.9243374999999985E-4</v>
      </c>
    </row>
    <row r="82" spans="1:4" x14ac:dyDescent="0.25">
      <c r="A82" s="1">
        <v>45691.630300925928</v>
      </c>
      <c r="B82">
        <v>3.28</v>
      </c>
      <c r="C82">
        <v>-2.7269999999999999</v>
      </c>
      <c r="D82" cm="1">
        <f t="array" ref="D82">(rad*mass*grav)/-C82-mass*rad^2</f>
        <v>1.3130259529702971E-3</v>
      </c>
    </row>
    <row r="83" spans="1:4" x14ac:dyDescent="0.25">
      <c r="A83" s="1">
        <v>45691.630300925928</v>
      </c>
      <c r="B83">
        <v>3.32</v>
      </c>
      <c r="C83">
        <v>-2.1819999999999999</v>
      </c>
      <c r="D83" cm="1">
        <f t="array" ref="D83">(rad*mass*grav)/-C83-mass*rad^2</f>
        <v>1.6432304388175984E-3</v>
      </c>
    </row>
    <row r="84" spans="1:4" x14ac:dyDescent="0.25">
      <c r="A84" s="1">
        <v>45691.630300925928</v>
      </c>
      <c r="B84">
        <v>3.36</v>
      </c>
      <c r="C84">
        <v>-2.4</v>
      </c>
      <c r="D84" cm="1">
        <f t="array" ref="D84">(rad*mass*grav)/-C84-mass*rad^2</f>
        <v>1.4931524999999999E-3</v>
      </c>
    </row>
    <row r="85" spans="1:4" x14ac:dyDescent="0.25">
      <c r="A85" s="1">
        <v>45691.630300925928</v>
      </c>
      <c r="B85">
        <v>3.4</v>
      </c>
      <c r="C85">
        <v>-3.2719999999999998</v>
      </c>
      <c r="D85" cm="1">
        <f t="array" ref="D85">(rad*mass*grav)/-C85-mass*rad^2</f>
        <v>1.0928223502444988E-3</v>
      </c>
    </row>
    <row r="86" spans="1:4" x14ac:dyDescent="0.25">
      <c r="A86" s="1">
        <v>45691.630300925928</v>
      </c>
      <c r="B86">
        <v>3.44</v>
      </c>
      <c r="C86">
        <v>-4.0910000000000002</v>
      </c>
      <c r="D86" cm="1">
        <f t="array" ref="D86">(rad*mass*grav)/-C86-mass*rad^2</f>
        <v>8.7224166676851621E-4</v>
      </c>
    </row>
    <row r="87" spans="1:4" x14ac:dyDescent="0.25">
      <c r="A87" s="1">
        <v>45691.630300925928</v>
      </c>
      <c r="B87">
        <v>3.48</v>
      </c>
      <c r="C87">
        <v>-4.3090000000000002</v>
      </c>
      <c r="D87" cm="1">
        <f t="array" ref="D87">(rad*mass*grav)/-C87-mass*rad^2</f>
        <v>8.2765788843119047E-4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5CA09-16C8-463D-8C66-ADF6ECBAD3FE}">
  <dimension ref="A1:C105"/>
  <sheetViews>
    <sheetView workbookViewId="0">
      <selection activeCell="M13" sqref="M13"/>
    </sheetView>
  </sheetViews>
  <sheetFormatPr defaultRowHeight="15" x14ac:dyDescent="0.25"/>
  <cols>
    <col min="1" max="1" width="23" customWidth="1"/>
    <col min="2" max="2" width="16.28515625" customWidth="1"/>
    <col min="3" max="3" width="33.5703125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s="1">
        <v>45691.631111111114</v>
      </c>
      <c r="B2">
        <v>6.28</v>
      </c>
      <c r="C2">
        <v>-5.4539999999999997</v>
      </c>
    </row>
    <row r="3" spans="1:3" x14ac:dyDescent="0.25">
      <c r="A3" s="1">
        <v>45691.631111111114</v>
      </c>
      <c r="B3">
        <v>6.32</v>
      </c>
      <c r="C3">
        <v>-7.4180000000000001</v>
      </c>
    </row>
    <row r="4" spans="1:3" x14ac:dyDescent="0.25">
      <c r="A4" s="1">
        <v>45691.631111111114</v>
      </c>
      <c r="B4">
        <v>6.36</v>
      </c>
      <c r="C4">
        <v>-7.9630000000000001</v>
      </c>
    </row>
    <row r="5" spans="1:3" x14ac:dyDescent="0.25">
      <c r="A5" s="1">
        <v>45691.631111111114</v>
      </c>
      <c r="B5">
        <v>6.4</v>
      </c>
      <c r="C5">
        <v>-7.8540000000000001</v>
      </c>
    </row>
    <row r="6" spans="1:3" x14ac:dyDescent="0.25">
      <c r="A6" s="1">
        <v>45691.631111111114</v>
      </c>
      <c r="B6">
        <v>6.44</v>
      </c>
      <c r="C6">
        <v>-7.6360000000000001</v>
      </c>
    </row>
    <row r="7" spans="1:3" x14ac:dyDescent="0.25">
      <c r="A7" s="1">
        <v>45691.631111111114</v>
      </c>
      <c r="B7">
        <v>6.48</v>
      </c>
      <c r="C7">
        <v>-7.4720000000000004</v>
      </c>
    </row>
    <row r="8" spans="1:3" x14ac:dyDescent="0.25">
      <c r="A8" s="1">
        <v>45691.631111111114</v>
      </c>
      <c r="B8">
        <v>6.52</v>
      </c>
      <c r="C8">
        <v>-7.4720000000000004</v>
      </c>
    </row>
    <row r="9" spans="1:3" x14ac:dyDescent="0.25">
      <c r="A9" s="1">
        <v>45691.631111111114</v>
      </c>
      <c r="B9">
        <v>6.56</v>
      </c>
      <c r="C9">
        <v>-7.5810000000000004</v>
      </c>
    </row>
    <row r="10" spans="1:3" x14ac:dyDescent="0.25">
      <c r="A10" s="1">
        <v>45691.631111111114</v>
      </c>
      <c r="B10">
        <v>6.6</v>
      </c>
      <c r="C10">
        <v>-7.5810000000000004</v>
      </c>
    </row>
    <row r="11" spans="1:3" x14ac:dyDescent="0.25">
      <c r="A11" s="1">
        <v>45691.631111111114</v>
      </c>
      <c r="B11">
        <v>6.64</v>
      </c>
      <c r="C11">
        <v>-7.3630000000000004</v>
      </c>
    </row>
    <row r="12" spans="1:3" x14ac:dyDescent="0.25">
      <c r="A12" s="1">
        <v>45691.631111111114</v>
      </c>
      <c r="B12">
        <v>6.68</v>
      </c>
      <c r="C12">
        <v>-7.1449999999999996</v>
      </c>
    </row>
    <row r="13" spans="1:3" x14ac:dyDescent="0.25">
      <c r="A13" s="1">
        <v>45691.631111111114</v>
      </c>
      <c r="B13">
        <v>6.72</v>
      </c>
      <c r="C13">
        <v>-7.09</v>
      </c>
    </row>
    <row r="14" spans="1:3" x14ac:dyDescent="0.25">
      <c r="A14" s="1">
        <v>45691.631111111114</v>
      </c>
      <c r="B14">
        <v>6.76</v>
      </c>
      <c r="C14">
        <v>-7.1449999999999996</v>
      </c>
    </row>
    <row r="15" spans="1:3" x14ac:dyDescent="0.25">
      <c r="A15" s="1">
        <v>45691.631111111114</v>
      </c>
      <c r="B15">
        <v>6.8</v>
      </c>
      <c r="C15">
        <v>-7.1989999999999998</v>
      </c>
    </row>
    <row r="16" spans="1:3" x14ac:dyDescent="0.25">
      <c r="A16" s="1">
        <v>45691.631111111114</v>
      </c>
      <c r="B16">
        <v>6.84</v>
      </c>
      <c r="C16">
        <v>-7.1449999999999996</v>
      </c>
    </row>
    <row r="17" spans="1:3" x14ac:dyDescent="0.25">
      <c r="A17" s="1">
        <v>45691.631111111114</v>
      </c>
      <c r="B17">
        <v>6.88</v>
      </c>
      <c r="C17">
        <v>-7.0359999999999996</v>
      </c>
    </row>
    <row r="18" spans="1:3" x14ac:dyDescent="0.25">
      <c r="A18" s="1">
        <v>45691.631111111114</v>
      </c>
      <c r="B18">
        <v>6.92</v>
      </c>
      <c r="C18">
        <v>-6.9269999999999996</v>
      </c>
    </row>
    <row r="19" spans="1:3" x14ac:dyDescent="0.25">
      <c r="A19" s="1">
        <v>45691.631111111114</v>
      </c>
      <c r="B19">
        <v>6.96</v>
      </c>
      <c r="C19">
        <v>-6.8719999999999999</v>
      </c>
    </row>
    <row r="20" spans="1:3" x14ac:dyDescent="0.25">
      <c r="A20" s="1">
        <v>45691.631122685183</v>
      </c>
      <c r="B20">
        <v>7</v>
      </c>
      <c r="C20">
        <v>-6.7629999999999999</v>
      </c>
    </row>
    <row r="21" spans="1:3" x14ac:dyDescent="0.25">
      <c r="A21" s="1">
        <v>45691.631122685183</v>
      </c>
      <c r="B21">
        <v>7.04</v>
      </c>
      <c r="C21">
        <v>-6.5449999999999999</v>
      </c>
    </row>
    <row r="22" spans="1:3" x14ac:dyDescent="0.25">
      <c r="A22" s="1">
        <v>45691.631122685183</v>
      </c>
      <c r="B22">
        <v>7.08</v>
      </c>
      <c r="C22">
        <v>-6.3810000000000002</v>
      </c>
    </row>
    <row r="23" spans="1:3" x14ac:dyDescent="0.25">
      <c r="A23" s="1">
        <v>45691.631122685183</v>
      </c>
      <c r="B23">
        <v>7.12</v>
      </c>
      <c r="C23">
        <v>-6.4359999999999999</v>
      </c>
    </row>
    <row r="24" spans="1:3" x14ac:dyDescent="0.25">
      <c r="A24" s="1">
        <v>45691.631122685183</v>
      </c>
      <c r="B24">
        <v>7.16</v>
      </c>
      <c r="C24">
        <v>-6.6</v>
      </c>
    </row>
    <row r="25" spans="1:3" x14ac:dyDescent="0.25">
      <c r="A25" s="1">
        <v>45691.631122685183</v>
      </c>
      <c r="B25">
        <v>7.2</v>
      </c>
      <c r="C25">
        <v>-6.5449999999999999</v>
      </c>
    </row>
    <row r="26" spans="1:3" x14ac:dyDescent="0.25">
      <c r="A26" s="1">
        <v>45691.631122685183</v>
      </c>
      <c r="B26">
        <v>7.24</v>
      </c>
      <c r="C26">
        <v>-6.2720000000000002</v>
      </c>
    </row>
    <row r="27" spans="1:3" x14ac:dyDescent="0.25">
      <c r="A27" s="1">
        <v>45691.631122685183</v>
      </c>
      <c r="B27">
        <v>7.28</v>
      </c>
      <c r="C27">
        <v>-6.0540000000000003</v>
      </c>
    </row>
    <row r="28" spans="1:3" x14ac:dyDescent="0.25">
      <c r="A28" s="1">
        <v>45691.631122685183</v>
      </c>
      <c r="B28">
        <v>7.32</v>
      </c>
      <c r="C28">
        <v>-6.109</v>
      </c>
    </row>
    <row r="29" spans="1:3" x14ac:dyDescent="0.25">
      <c r="A29" s="1">
        <v>45691.631122685183</v>
      </c>
      <c r="B29">
        <v>7.36</v>
      </c>
      <c r="C29">
        <v>-6.327</v>
      </c>
    </row>
    <row r="30" spans="1:3" x14ac:dyDescent="0.25">
      <c r="A30" s="1">
        <v>45691.631122685183</v>
      </c>
      <c r="B30">
        <v>7.4</v>
      </c>
      <c r="C30">
        <v>-6.4359999999999999</v>
      </c>
    </row>
    <row r="31" spans="1:3" x14ac:dyDescent="0.25">
      <c r="A31" s="1">
        <v>45691.631122685183</v>
      </c>
      <c r="B31">
        <v>7.44</v>
      </c>
      <c r="C31">
        <v>-6.3810000000000002</v>
      </c>
    </row>
    <row r="32" spans="1:3" x14ac:dyDescent="0.25">
      <c r="A32" s="1">
        <v>45691.631122685183</v>
      </c>
      <c r="B32">
        <v>7.48</v>
      </c>
      <c r="C32">
        <v>-6.2720000000000002</v>
      </c>
    </row>
    <row r="33" spans="1:3" x14ac:dyDescent="0.25">
      <c r="A33" s="1">
        <v>45691.631122685183</v>
      </c>
      <c r="B33">
        <v>7.52</v>
      </c>
      <c r="C33">
        <v>-6.2720000000000002</v>
      </c>
    </row>
    <row r="34" spans="1:3" x14ac:dyDescent="0.25">
      <c r="A34" s="1">
        <v>45691.631122685183</v>
      </c>
      <c r="B34">
        <v>7.56</v>
      </c>
      <c r="C34">
        <v>-6.3810000000000002</v>
      </c>
    </row>
    <row r="35" spans="1:3" x14ac:dyDescent="0.25">
      <c r="A35" s="1">
        <v>45691.631122685183</v>
      </c>
      <c r="B35">
        <v>7.6</v>
      </c>
      <c r="C35">
        <v>-6.4359999999999999</v>
      </c>
    </row>
    <row r="36" spans="1:3" x14ac:dyDescent="0.25">
      <c r="A36" s="1">
        <v>45691.631122685183</v>
      </c>
      <c r="B36">
        <v>7.64</v>
      </c>
      <c r="C36">
        <v>-6.2720000000000002</v>
      </c>
    </row>
    <row r="37" spans="1:3" x14ac:dyDescent="0.25">
      <c r="A37" s="1">
        <v>45691.631122685183</v>
      </c>
      <c r="B37">
        <v>7.68</v>
      </c>
      <c r="C37">
        <v>-5.9450000000000003</v>
      </c>
    </row>
    <row r="38" spans="1:3" x14ac:dyDescent="0.25">
      <c r="A38" s="1">
        <v>45691.631122685183</v>
      </c>
      <c r="B38">
        <v>7.72</v>
      </c>
      <c r="C38">
        <v>-5.8360000000000003</v>
      </c>
    </row>
    <row r="39" spans="1:3" x14ac:dyDescent="0.25">
      <c r="A39" s="1">
        <v>45691.631122685183</v>
      </c>
      <c r="B39">
        <v>7.76</v>
      </c>
      <c r="C39">
        <v>-6.0540000000000003</v>
      </c>
    </row>
    <row r="40" spans="1:3" x14ac:dyDescent="0.25">
      <c r="A40" s="1">
        <v>45691.631122685183</v>
      </c>
      <c r="B40">
        <v>7.8</v>
      </c>
      <c r="C40">
        <v>-6.218</v>
      </c>
    </row>
    <row r="41" spans="1:3" x14ac:dyDescent="0.25">
      <c r="A41" s="1">
        <v>45691.631122685183</v>
      </c>
      <c r="B41">
        <v>7.84</v>
      </c>
      <c r="C41">
        <v>-6</v>
      </c>
    </row>
    <row r="42" spans="1:3" x14ac:dyDescent="0.25">
      <c r="A42" s="1">
        <v>45691.631122685183</v>
      </c>
      <c r="B42">
        <v>7.88</v>
      </c>
      <c r="C42">
        <v>-5.6180000000000003</v>
      </c>
    </row>
    <row r="43" spans="1:3" x14ac:dyDescent="0.25">
      <c r="A43" s="1">
        <v>45691.631122685183</v>
      </c>
      <c r="B43">
        <v>7.92</v>
      </c>
      <c r="C43">
        <v>-5.4539999999999997</v>
      </c>
    </row>
    <row r="44" spans="1:3" x14ac:dyDescent="0.25">
      <c r="A44" s="1">
        <v>45691.631122685183</v>
      </c>
      <c r="B44">
        <v>7.96</v>
      </c>
      <c r="C44">
        <v>-5.4539999999999997</v>
      </c>
    </row>
    <row r="45" spans="1:3" x14ac:dyDescent="0.25">
      <c r="A45" s="1">
        <v>45691.63113425926</v>
      </c>
      <c r="B45">
        <v>8</v>
      </c>
      <c r="C45">
        <v>-5.3449999999999998</v>
      </c>
    </row>
    <row r="46" spans="1:3" x14ac:dyDescent="0.25">
      <c r="A46" s="1">
        <v>45691.63113425926</v>
      </c>
      <c r="B46">
        <v>8.0399999999999991</v>
      </c>
      <c r="C46">
        <v>-5.2910000000000004</v>
      </c>
    </row>
    <row r="47" spans="1:3" x14ac:dyDescent="0.25">
      <c r="A47" s="1">
        <v>45691.63113425926</v>
      </c>
      <c r="B47">
        <v>8.08</v>
      </c>
      <c r="C47">
        <v>-5.4539999999999997</v>
      </c>
    </row>
    <row r="48" spans="1:3" x14ac:dyDescent="0.25">
      <c r="A48" s="1">
        <v>45691.63113425926</v>
      </c>
      <c r="B48">
        <v>8.1199999999999992</v>
      </c>
      <c r="C48">
        <v>-5.7270000000000003</v>
      </c>
    </row>
    <row r="49" spans="1:3" x14ac:dyDescent="0.25">
      <c r="A49" s="1">
        <v>45691.63113425926</v>
      </c>
      <c r="B49">
        <v>8.16</v>
      </c>
      <c r="C49">
        <v>-5.89</v>
      </c>
    </row>
    <row r="50" spans="1:3" x14ac:dyDescent="0.25">
      <c r="A50" s="1">
        <v>45691.63113425926</v>
      </c>
      <c r="B50">
        <v>8.1999999999999993</v>
      </c>
      <c r="C50">
        <v>-5.8360000000000003</v>
      </c>
    </row>
    <row r="51" spans="1:3" x14ac:dyDescent="0.25">
      <c r="A51" s="1">
        <v>45691.63113425926</v>
      </c>
      <c r="B51">
        <v>8.24</v>
      </c>
      <c r="C51">
        <v>-5.7809999999999997</v>
      </c>
    </row>
    <row r="52" spans="1:3" x14ac:dyDescent="0.25">
      <c r="A52" s="1">
        <v>45691.63113425926</v>
      </c>
      <c r="B52">
        <v>8.2799999999999994</v>
      </c>
      <c r="C52">
        <v>-5.7270000000000003</v>
      </c>
    </row>
    <row r="53" spans="1:3" x14ac:dyDescent="0.25">
      <c r="A53" s="1">
        <v>45691.63113425926</v>
      </c>
      <c r="B53">
        <v>8.32</v>
      </c>
      <c r="C53">
        <v>-5.6180000000000003</v>
      </c>
    </row>
    <row r="54" spans="1:3" x14ac:dyDescent="0.25">
      <c r="A54" s="1">
        <v>45691.63113425926</v>
      </c>
      <c r="B54">
        <v>8.36</v>
      </c>
      <c r="C54">
        <v>-5.2910000000000004</v>
      </c>
    </row>
    <row r="55" spans="1:3" x14ac:dyDescent="0.25">
      <c r="A55" s="1">
        <v>45691.63113425926</v>
      </c>
      <c r="B55">
        <v>8.4</v>
      </c>
      <c r="C55">
        <v>-4.8</v>
      </c>
    </row>
    <row r="56" spans="1:3" x14ac:dyDescent="0.25">
      <c r="A56" s="1">
        <v>45691.63113425926</v>
      </c>
      <c r="B56">
        <v>8.44</v>
      </c>
      <c r="C56">
        <v>-4.5270000000000001</v>
      </c>
    </row>
    <row r="57" spans="1:3" x14ac:dyDescent="0.25">
      <c r="A57" s="1">
        <v>45691.63113425926</v>
      </c>
      <c r="B57">
        <v>8.48</v>
      </c>
      <c r="C57">
        <v>-4.6909999999999998</v>
      </c>
    </row>
    <row r="58" spans="1:3" x14ac:dyDescent="0.25">
      <c r="A58" s="1">
        <v>45691.63113425926</v>
      </c>
      <c r="B58">
        <v>8.52</v>
      </c>
      <c r="C58">
        <v>-5.0720000000000001</v>
      </c>
    </row>
    <row r="59" spans="1:3" x14ac:dyDescent="0.25">
      <c r="A59" s="1">
        <v>45691.63113425926</v>
      </c>
      <c r="B59">
        <v>8.56</v>
      </c>
      <c r="C59">
        <v>-5.181</v>
      </c>
    </row>
    <row r="60" spans="1:3" x14ac:dyDescent="0.25">
      <c r="A60" s="1">
        <v>45691.63113425926</v>
      </c>
      <c r="B60">
        <v>8.6</v>
      </c>
      <c r="C60">
        <v>-5.0720000000000001</v>
      </c>
    </row>
    <row r="61" spans="1:3" x14ac:dyDescent="0.25">
      <c r="A61" s="1">
        <v>45691.63113425926</v>
      </c>
      <c r="B61">
        <v>8.64</v>
      </c>
      <c r="C61">
        <v>-5.0720000000000001</v>
      </c>
    </row>
    <row r="62" spans="1:3" x14ac:dyDescent="0.25">
      <c r="A62" s="1">
        <v>45691.63113425926</v>
      </c>
      <c r="B62">
        <v>8.68</v>
      </c>
      <c r="C62">
        <v>-5.3449999999999998</v>
      </c>
    </row>
    <row r="63" spans="1:3" x14ac:dyDescent="0.25">
      <c r="A63" s="1">
        <v>45691.63113425926</v>
      </c>
      <c r="B63">
        <v>8.7200000000000006</v>
      </c>
      <c r="C63">
        <v>-5.5090000000000003</v>
      </c>
    </row>
    <row r="64" spans="1:3" x14ac:dyDescent="0.25">
      <c r="A64" s="1">
        <v>45691.63113425926</v>
      </c>
      <c r="B64">
        <v>8.76</v>
      </c>
      <c r="C64">
        <v>-5.2359999999999998</v>
      </c>
    </row>
    <row r="65" spans="1:3" x14ac:dyDescent="0.25">
      <c r="A65" s="1">
        <v>45691.63113425926</v>
      </c>
      <c r="B65">
        <v>8.8000000000000007</v>
      </c>
      <c r="C65">
        <v>-4.6909999999999998</v>
      </c>
    </row>
    <row r="66" spans="1:3" x14ac:dyDescent="0.25">
      <c r="A66" s="1">
        <v>45691.63113425926</v>
      </c>
      <c r="B66">
        <v>8.84</v>
      </c>
      <c r="C66">
        <v>-4.1449999999999996</v>
      </c>
    </row>
    <row r="67" spans="1:3" x14ac:dyDescent="0.25">
      <c r="A67" s="1">
        <v>45691.63113425926</v>
      </c>
      <c r="B67">
        <v>8.8800000000000008</v>
      </c>
      <c r="C67">
        <v>-3.9820000000000002</v>
      </c>
    </row>
    <row r="68" spans="1:3" x14ac:dyDescent="0.25">
      <c r="A68" s="1">
        <v>45691.63113425926</v>
      </c>
      <c r="B68">
        <v>8.92</v>
      </c>
      <c r="C68">
        <v>-4.2</v>
      </c>
    </row>
    <row r="69" spans="1:3" x14ac:dyDescent="0.25">
      <c r="A69" s="1">
        <v>45691.63113425926</v>
      </c>
      <c r="B69">
        <v>8.9600000000000009</v>
      </c>
      <c r="C69">
        <v>-4.6360000000000001</v>
      </c>
    </row>
    <row r="70" spans="1:3" x14ac:dyDescent="0.25">
      <c r="A70" s="1">
        <v>45691.631145833337</v>
      </c>
      <c r="B70">
        <v>9</v>
      </c>
      <c r="C70">
        <v>-4.9630000000000001</v>
      </c>
    </row>
    <row r="71" spans="1:3" x14ac:dyDescent="0.25">
      <c r="A71" s="1">
        <v>45691.631145833337</v>
      </c>
      <c r="B71">
        <v>9.0399999999999991</v>
      </c>
      <c r="C71">
        <v>-4.9630000000000001</v>
      </c>
    </row>
    <row r="72" spans="1:3" x14ac:dyDescent="0.25">
      <c r="A72" s="1">
        <v>45691.631145833337</v>
      </c>
      <c r="B72">
        <v>9.08</v>
      </c>
      <c r="C72">
        <v>-4.8540000000000001</v>
      </c>
    </row>
    <row r="73" spans="1:3" x14ac:dyDescent="0.25">
      <c r="A73" s="1">
        <v>45691.631145833337</v>
      </c>
      <c r="B73">
        <v>9.1199999999999992</v>
      </c>
      <c r="C73">
        <v>-4.5810000000000004</v>
      </c>
    </row>
    <row r="74" spans="1:3" x14ac:dyDescent="0.25">
      <c r="A74" s="1">
        <v>45691.631145833337</v>
      </c>
      <c r="B74">
        <v>9.16</v>
      </c>
      <c r="C74">
        <v>-4.2539999999999996</v>
      </c>
    </row>
    <row r="75" spans="1:3" x14ac:dyDescent="0.25">
      <c r="A75" s="1">
        <v>45691.631145833337</v>
      </c>
      <c r="B75">
        <v>9.1999999999999993</v>
      </c>
      <c r="C75">
        <v>-3.9820000000000002</v>
      </c>
    </row>
    <row r="76" spans="1:3" x14ac:dyDescent="0.25">
      <c r="A76" s="1">
        <v>45691.631145833337</v>
      </c>
      <c r="B76">
        <v>9.24</v>
      </c>
      <c r="C76">
        <v>-3.927</v>
      </c>
    </row>
    <row r="77" spans="1:3" x14ac:dyDescent="0.25">
      <c r="A77" s="1">
        <v>45691.631145833337</v>
      </c>
      <c r="B77">
        <v>9.2799999999999994</v>
      </c>
      <c r="C77">
        <v>-4.1449999999999996</v>
      </c>
    </row>
    <row r="78" spans="1:3" x14ac:dyDescent="0.25">
      <c r="A78" s="1">
        <v>45691.631145833337</v>
      </c>
      <c r="B78">
        <v>9.32</v>
      </c>
      <c r="C78">
        <v>-4.2539999999999996</v>
      </c>
    </row>
    <row r="79" spans="1:3" x14ac:dyDescent="0.25">
      <c r="A79" s="1">
        <v>45691.631145833337</v>
      </c>
      <c r="B79">
        <v>9.36</v>
      </c>
      <c r="C79">
        <v>-4.3090000000000002</v>
      </c>
    </row>
    <row r="80" spans="1:3" x14ac:dyDescent="0.25">
      <c r="A80" s="1">
        <v>45691.631145833337</v>
      </c>
      <c r="B80">
        <v>9.4</v>
      </c>
      <c r="C80">
        <v>-4.3090000000000002</v>
      </c>
    </row>
    <row r="81" spans="1:3" x14ac:dyDescent="0.25">
      <c r="A81" s="1">
        <v>45691.631145833337</v>
      </c>
      <c r="B81">
        <v>9.44</v>
      </c>
      <c r="C81">
        <v>-4.4180000000000001</v>
      </c>
    </row>
    <row r="82" spans="1:3" x14ac:dyDescent="0.25">
      <c r="A82" s="1">
        <v>45691.631145833337</v>
      </c>
      <c r="B82">
        <v>9.48</v>
      </c>
      <c r="C82">
        <v>-4.5810000000000004</v>
      </c>
    </row>
    <row r="83" spans="1:3" x14ac:dyDescent="0.25">
      <c r="A83" s="1">
        <v>45691.631145833337</v>
      </c>
      <c r="B83">
        <v>9.52</v>
      </c>
      <c r="C83">
        <v>-4.4720000000000004</v>
      </c>
    </row>
    <row r="84" spans="1:3" x14ac:dyDescent="0.25">
      <c r="A84" s="1">
        <v>45691.631145833337</v>
      </c>
      <c r="B84">
        <v>9.56</v>
      </c>
      <c r="C84">
        <v>-4.0359999999999996</v>
      </c>
    </row>
    <row r="85" spans="1:3" x14ac:dyDescent="0.25">
      <c r="A85" s="1">
        <v>45691.631145833337</v>
      </c>
      <c r="B85">
        <v>9.6</v>
      </c>
      <c r="C85">
        <v>-3.4910000000000001</v>
      </c>
    </row>
    <row r="86" spans="1:3" x14ac:dyDescent="0.25">
      <c r="A86" s="1">
        <v>45691.631145833337</v>
      </c>
      <c r="B86">
        <v>9.64</v>
      </c>
      <c r="C86">
        <v>-3.3820000000000001</v>
      </c>
    </row>
    <row r="87" spans="1:3" x14ac:dyDescent="0.25">
      <c r="A87" s="1">
        <v>45691.631145833337</v>
      </c>
      <c r="B87">
        <v>9.68</v>
      </c>
      <c r="C87">
        <v>-3.7090000000000001</v>
      </c>
    </row>
    <row r="88" spans="1:3" x14ac:dyDescent="0.25">
      <c r="A88" s="1">
        <v>45691.631145833337</v>
      </c>
      <c r="B88">
        <v>9.7200000000000006</v>
      </c>
      <c r="C88">
        <v>-4.1449999999999996</v>
      </c>
    </row>
    <row r="89" spans="1:3" x14ac:dyDescent="0.25">
      <c r="A89" s="1">
        <v>45691.631145833337</v>
      </c>
      <c r="B89">
        <v>9.76</v>
      </c>
      <c r="C89">
        <v>-4.3630000000000004</v>
      </c>
    </row>
    <row r="90" spans="1:3" x14ac:dyDescent="0.25">
      <c r="A90" s="1">
        <v>45691.631145833337</v>
      </c>
      <c r="B90">
        <v>9.8000000000000007</v>
      </c>
      <c r="C90">
        <v>-4.2539999999999996</v>
      </c>
    </row>
    <row r="91" spans="1:3" x14ac:dyDescent="0.25">
      <c r="A91" s="1">
        <v>45691.631145833337</v>
      </c>
      <c r="B91">
        <v>9.84</v>
      </c>
      <c r="C91">
        <v>-3.8719999999999999</v>
      </c>
    </row>
    <row r="92" spans="1:3" x14ac:dyDescent="0.25">
      <c r="A92" s="1">
        <v>45691.631145833337</v>
      </c>
      <c r="B92">
        <v>9.8800000000000008</v>
      </c>
      <c r="C92">
        <v>-3.327</v>
      </c>
    </row>
    <row r="93" spans="1:3" x14ac:dyDescent="0.25">
      <c r="A93" s="1">
        <v>45691.631145833337</v>
      </c>
      <c r="B93">
        <v>9.92</v>
      </c>
      <c r="C93">
        <v>-3</v>
      </c>
    </row>
    <row r="94" spans="1:3" x14ac:dyDescent="0.25">
      <c r="A94" s="1">
        <v>45691.631145833337</v>
      </c>
      <c r="B94">
        <v>9.9600000000000009</v>
      </c>
      <c r="C94">
        <v>-3.109</v>
      </c>
    </row>
    <row r="95" spans="1:3" x14ac:dyDescent="0.25">
      <c r="A95" s="1">
        <v>45691.631157407406</v>
      </c>
      <c r="B95">
        <v>10</v>
      </c>
      <c r="C95">
        <v>-3.4910000000000001</v>
      </c>
    </row>
    <row r="96" spans="1:3" x14ac:dyDescent="0.25">
      <c r="A96" s="1">
        <v>45691.631157407406</v>
      </c>
      <c r="B96">
        <v>10.039999999999999</v>
      </c>
      <c r="C96">
        <v>-3.927</v>
      </c>
    </row>
    <row r="97" spans="1:3" x14ac:dyDescent="0.25">
      <c r="A97" s="1">
        <v>45691.631157407406</v>
      </c>
      <c r="B97">
        <v>10.08</v>
      </c>
      <c r="C97">
        <v>-4.1449999999999996</v>
      </c>
    </row>
    <row r="98" spans="1:3" x14ac:dyDescent="0.25">
      <c r="A98" s="1">
        <v>45691.631157407406</v>
      </c>
      <c r="B98">
        <v>10.119999999999999</v>
      </c>
      <c r="C98">
        <v>-3.9820000000000002</v>
      </c>
    </row>
    <row r="99" spans="1:3" x14ac:dyDescent="0.25">
      <c r="A99" s="1">
        <v>45691.631157407406</v>
      </c>
      <c r="B99">
        <v>10.16</v>
      </c>
      <c r="C99">
        <v>-3.3820000000000001</v>
      </c>
    </row>
    <row r="100" spans="1:3" x14ac:dyDescent="0.25">
      <c r="A100" s="1">
        <v>45691.631157407406</v>
      </c>
      <c r="B100">
        <v>10.199999999999999</v>
      </c>
      <c r="C100">
        <v>-2.673</v>
      </c>
    </row>
    <row r="101" spans="1:3" x14ac:dyDescent="0.25">
      <c r="A101" s="1">
        <v>45691.631157407406</v>
      </c>
      <c r="B101">
        <v>10.24</v>
      </c>
      <c r="C101">
        <v>-2.4540000000000002</v>
      </c>
    </row>
    <row r="102" spans="1:3" x14ac:dyDescent="0.25">
      <c r="A102" s="1">
        <v>45691.631157407406</v>
      </c>
      <c r="B102">
        <v>10.28</v>
      </c>
      <c r="C102">
        <v>-2.8359999999999999</v>
      </c>
    </row>
    <row r="103" spans="1:3" x14ac:dyDescent="0.25">
      <c r="A103" s="1">
        <v>45691.631157407406</v>
      </c>
      <c r="B103">
        <v>10.32</v>
      </c>
      <c r="C103">
        <v>-3.4910000000000001</v>
      </c>
    </row>
    <row r="104" spans="1:3" x14ac:dyDescent="0.25">
      <c r="A104" s="1">
        <v>45691.631157407406</v>
      </c>
      <c r="B104">
        <v>10.36</v>
      </c>
      <c r="C104">
        <v>-3.8180000000000001</v>
      </c>
    </row>
    <row r="105" spans="1:3" x14ac:dyDescent="0.25">
      <c r="A105" s="1">
        <v>45691.631157407406</v>
      </c>
      <c r="B105">
        <v>10.4</v>
      </c>
      <c r="C105">
        <v>-3.6539999999999999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83CC6-7CDC-44BD-ADA5-E89EA1DB76EB}">
  <dimension ref="A1:C113"/>
  <sheetViews>
    <sheetView topLeftCell="A79" workbookViewId="0">
      <selection activeCell="C120" sqref="C120"/>
    </sheetView>
  </sheetViews>
  <sheetFormatPr defaultRowHeight="15" x14ac:dyDescent="0.25"/>
  <cols>
    <col min="1" max="1" width="21" customWidth="1"/>
    <col min="2" max="2" width="15.42578125" customWidth="1"/>
    <col min="3" max="3" width="35.5703125" customWidth="1"/>
  </cols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s="1">
        <v>45691.633136574077</v>
      </c>
      <c r="B2">
        <v>0.08</v>
      </c>
      <c r="C2">
        <v>2.2909999999999999</v>
      </c>
    </row>
    <row r="3" spans="1:3" x14ac:dyDescent="0.25">
      <c r="A3" s="1">
        <v>45691.633136574077</v>
      </c>
      <c r="B3">
        <v>0.12</v>
      </c>
      <c r="C3">
        <v>-1.6359999999999999</v>
      </c>
    </row>
    <row r="4" spans="1:3" x14ac:dyDescent="0.25">
      <c r="A4" s="1">
        <v>45691.633136574077</v>
      </c>
      <c r="B4">
        <v>0.16</v>
      </c>
      <c r="C4">
        <v>-4.8540000000000001</v>
      </c>
    </row>
    <row r="5" spans="1:3" x14ac:dyDescent="0.25">
      <c r="A5" s="1">
        <v>45691.633136574077</v>
      </c>
      <c r="B5">
        <v>0.2</v>
      </c>
      <c r="C5">
        <v>-6.8719999999999999</v>
      </c>
    </row>
    <row r="6" spans="1:3" x14ac:dyDescent="0.25">
      <c r="A6" s="1">
        <v>45691.633136574077</v>
      </c>
      <c r="B6">
        <v>0.24</v>
      </c>
      <c r="C6">
        <v>-7.6360000000000001</v>
      </c>
    </row>
    <row r="7" spans="1:3" x14ac:dyDescent="0.25">
      <c r="A7" s="1">
        <v>45691.633136574077</v>
      </c>
      <c r="B7">
        <v>0.28000000000000003</v>
      </c>
      <c r="C7">
        <v>-7.6360000000000001</v>
      </c>
    </row>
    <row r="8" spans="1:3" x14ac:dyDescent="0.25">
      <c r="A8" s="1">
        <v>45691.633136574077</v>
      </c>
      <c r="B8">
        <v>0.32</v>
      </c>
      <c r="C8">
        <v>-7.4180000000000001</v>
      </c>
    </row>
    <row r="9" spans="1:3" x14ac:dyDescent="0.25">
      <c r="A9" s="1">
        <v>45691.633136574077</v>
      </c>
      <c r="B9">
        <v>0.36</v>
      </c>
      <c r="C9">
        <v>-7.3090000000000002</v>
      </c>
    </row>
    <row r="10" spans="1:3" x14ac:dyDescent="0.25">
      <c r="A10" s="1">
        <v>45691.633136574077</v>
      </c>
      <c r="B10">
        <v>0.4</v>
      </c>
      <c r="C10">
        <v>-7.3090000000000002</v>
      </c>
    </row>
    <row r="11" spans="1:3" x14ac:dyDescent="0.25">
      <c r="A11" s="1">
        <v>45691.633136574077</v>
      </c>
      <c r="B11">
        <v>0.44</v>
      </c>
      <c r="C11">
        <v>-7.2539999999999996</v>
      </c>
    </row>
    <row r="12" spans="1:3" x14ac:dyDescent="0.25">
      <c r="A12" s="1">
        <v>45691.633136574077</v>
      </c>
      <c r="B12">
        <v>0.48</v>
      </c>
      <c r="C12">
        <v>-7.09</v>
      </c>
    </row>
    <row r="13" spans="1:3" x14ac:dyDescent="0.25">
      <c r="A13" s="1">
        <v>45691.633136574077</v>
      </c>
      <c r="B13">
        <v>0.52</v>
      </c>
      <c r="C13">
        <v>-6.9269999999999996</v>
      </c>
    </row>
    <row r="14" spans="1:3" x14ac:dyDescent="0.25">
      <c r="A14" s="1">
        <v>45691.633136574077</v>
      </c>
      <c r="B14">
        <v>0.56000000000000005</v>
      </c>
      <c r="C14">
        <v>-6.8719999999999999</v>
      </c>
    </row>
    <row r="15" spans="1:3" x14ac:dyDescent="0.25">
      <c r="A15" s="1">
        <v>45691.633136574077</v>
      </c>
      <c r="B15">
        <v>0.6</v>
      </c>
      <c r="C15">
        <v>-6.7629999999999999</v>
      </c>
    </row>
    <row r="16" spans="1:3" x14ac:dyDescent="0.25">
      <c r="A16" s="1">
        <v>45691.633136574077</v>
      </c>
      <c r="B16">
        <v>0.64</v>
      </c>
      <c r="C16">
        <v>-6.5449999999999999</v>
      </c>
    </row>
    <row r="17" spans="1:3" x14ac:dyDescent="0.25">
      <c r="A17" s="1">
        <v>45691.633136574077</v>
      </c>
      <c r="B17">
        <v>0.68</v>
      </c>
      <c r="C17">
        <v>-6.4359999999999999</v>
      </c>
    </row>
    <row r="18" spans="1:3" x14ac:dyDescent="0.25">
      <c r="A18" s="1">
        <v>45691.633136574077</v>
      </c>
      <c r="B18">
        <v>0.72</v>
      </c>
      <c r="C18">
        <v>-6.6</v>
      </c>
    </row>
    <row r="19" spans="1:3" x14ac:dyDescent="0.25">
      <c r="A19" s="1">
        <v>45691.633136574077</v>
      </c>
      <c r="B19">
        <v>0.76</v>
      </c>
      <c r="C19">
        <v>-6.8179999999999996</v>
      </c>
    </row>
    <row r="20" spans="1:3" x14ac:dyDescent="0.25">
      <c r="A20" s="1">
        <v>45691.633136574077</v>
      </c>
      <c r="B20">
        <v>0.8</v>
      </c>
      <c r="C20">
        <v>-6.7089999999999996</v>
      </c>
    </row>
    <row r="21" spans="1:3" x14ac:dyDescent="0.25">
      <c r="A21" s="1">
        <v>45691.633136574077</v>
      </c>
      <c r="B21">
        <v>0.84</v>
      </c>
      <c r="C21">
        <v>-6.327</v>
      </c>
    </row>
    <row r="22" spans="1:3" x14ac:dyDescent="0.25">
      <c r="A22" s="1">
        <v>45691.633136574077</v>
      </c>
      <c r="B22">
        <v>0.88</v>
      </c>
      <c r="C22">
        <v>-6.0540000000000003</v>
      </c>
    </row>
    <row r="23" spans="1:3" x14ac:dyDescent="0.25">
      <c r="A23" s="1">
        <v>45691.633136574077</v>
      </c>
      <c r="B23">
        <v>0.92</v>
      </c>
      <c r="C23">
        <v>-6.109</v>
      </c>
    </row>
    <row r="24" spans="1:3" x14ac:dyDescent="0.25">
      <c r="A24" s="1">
        <v>45691.633136574077</v>
      </c>
      <c r="B24">
        <v>0.96</v>
      </c>
      <c r="C24">
        <v>-6.327</v>
      </c>
    </row>
    <row r="25" spans="1:3" x14ac:dyDescent="0.25">
      <c r="A25" s="1">
        <v>45691.633148148147</v>
      </c>
      <c r="B25">
        <v>1</v>
      </c>
      <c r="C25">
        <v>-6.49</v>
      </c>
    </row>
    <row r="26" spans="1:3" x14ac:dyDescent="0.25">
      <c r="A26" s="1">
        <v>45691.633148148147</v>
      </c>
      <c r="B26">
        <v>1.04</v>
      </c>
      <c r="C26">
        <v>-6.5449999999999999</v>
      </c>
    </row>
    <row r="27" spans="1:3" x14ac:dyDescent="0.25">
      <c r="A27" s="1">
        <v>45691.633148148147</v>
      </c>
      <c r="B27">
        <v>1.08</v>
      </c>
      <c r="C27">
        <v>-6.5449999999999999</v>
      </c>
    </row>
    <row r="28" spans="1:3" x14ac:dyDescent="0.25">
      <c r="A28" s="1">
        <v>45691.633148148147</v>
      </c>
      <c r="B28">
        <v>1.1200000000000001</v>
      </c>
      <c r="C28">
        <v>-6.5449999999999999</v>
      </c>
    </row>
    <row r="29" spans="1:3" x14ac:dyDescent="0.25">
      <c r="A29" s="1">
        <v>45691.633148148147</v>
      </c>
      <c r="B29">
        <v>1.1599999999999999</v>
      </c>
      <c r="C29">
        <v>-6.49</v>
      </c>
    </row>
    <row r="30" spans="1:3" x14ac:dyDescent="0.25">
      <c r="A30" s="1">
        <v>45691.633148148147</v>
      </c>
      <c r="B30">
        <v>1.2</v>
      </c>
      <c r="C30">
        <v>-6.3810000000000002</v>
      </c>
    </row>
    <row r="31" spans="1:3" x14ac:dyDescent="0.25">
      <c r="A31" s="1">
        <v>45691.633148148147</v>
      </c>
      <c r="B31">
        <v>1.24</v>
      </c>
      <c r="C31">
        <v>-6.327</v>
      </c>
    </row>
    <row r="32" spans="1:3" x14ac:dyDescent="0.25">
      <c r="A32" s="1">
        <v>45691.633148148147</v>
      </c>
      <c r="B32">
        <v>1.28</v>
      </c>
      <c r="C32">
        <v>-6.4359999999999999</v>
      </c>
    </row>
    <row r="33" spans="1:3" x14ac:dyDescent="0.25">
      <c r="A33" s="1">
        <v>45691.633148148147</v>
      </c>
      <c r="B33">
        <v>1.32</v>
      </c>
      <c r="C33">
        <v>-6.6539999999999999</v>
      </c>
    </row>
    <row r="34" spans="1:3" x14ac:dyDescent="0.25">
      <c r="A34" s="1">
        <v>45691.633148148147</v>
      </c>
      <c r="B34">
        <v>1.36</v>
      </c>
      <c r="C34">
        <v>-6.7629999999999999</v>
      </c>
    </row>
    <row r="35" spans="1:3" x14ac:dyDescent="0.25">
      <c r="A35" s="1">
        <v>45691.633148148147</v>
      </c>
      <c r="B35">
        <v>1.4</v>
      </c>
      <c r="C35">
        <v>-6.6</v>
      </c>
    </row>
    <row r="36" spans="1:3" x14ac:dyDescent="0.25">
      <c r="A36" s="1">
        <v>45691.633148148147</v>
      </c>
      <c r="B36">
        <v>1.44</v>
      </c>
      <c r="C36">
        <v>-6.218</v>
      </c>
    </row>
    <row r="37" spans="1:3" x14ac:dyDescent="0.25">
      <c r="A37" s="1">
        <v>45691.633148148147</v>
      </c>
      <c r="B37">
        <v>1.48</v>
      </c>
      <c r="C37">
        <v>-5.8360000000000003</v>
      </c>
    </row>
    <row r="38" spans="1:3" x14ac:dyDescent="0.25">
      <c r="A38" s="1">
        <v>45691.633148148147</v>
      </c>
      <c r="B38">
        <v>1.52</v>
      </c>
      <c r="C38">
        <v>-5.5629999999999997</v>
      </c>
    </row>
    <row r="39" spans="1:3" x14ac:dyDescent="0.25">
      <c r="A39" s="1">
        <v>45691.633148148147</v>
      </c>
      <c r="B39">
        <v>1.56</v>
      </c>
      <c r="C39">
        <v>-5.4</v>
      </c>
    </row>
    <row r="40" spans="1:3" x14ac:dyDescent="0.25">
      <c r="A40" s="1">
        <v>45691.633148148147</v>
      </c>
      <c r="B40">
        <v>1.6</v>
      </c>
      <c r="C40">
        <v>-5.2910000000000004</v>
      </c>
    </row>
    <row r="41" spans="1:3" x14ac:dyDescent="0.25">
      <c r="A41" s="1">
        <v>45691.633148148147</v>
      </c>
      <c r="B41">
        <v>1.64</v>
      </c>
      <c r="C41">
        <v>-5.2910000000000004</v>
      </c>
    </row>
    <row r="42" spans="1:3" x14ac:dyDescent="0.25">
      <c r="A42" s="1">
        <v>45691.633148148147</v>
      </c>
      <c r="B42">
        <v>1.68</v>
      </c>
      <c r="C42">
        <v>-5.3449999999999998</v>
      </c>
    </row>
    <row r="43" spans="1:3" x14ac:dyDescent="0.25">
      <c r="A43" s="1">
        <v>45691.633148148147</v>
      </c>
      <c r="B43">
        <v>1.72</v>
      </c>
      <c r="C43">
        <v>-5.2910000000000004</v>
      </c>
    </row>
    <row r="44" spans="1:3" x14ac:dyDescent="0.25">
      <c r="A44" s="1">
        <v>45691.633148148147</v>
      </c>
      <c r="B44">
        <v>1.76</v>
      </c>
      <c r="C44">
        <v>-5.2910000000000004</v>
      </c>
    </row>
    <row r="45" spans="1:3" x14ac:dyDescent="0.25">
      <c r="A45" s="1">
        <v>45691.633148148147</v>
      </c>
      <c r="B45">
        <v>1.8</v>
      </c>
      <c r="C45">
        <v>-5.5090000000000003</v>
      </c>
    </row>
    <row r="46" spans="1:3" x14ac:dyDescent="0.25">
      <c r="A46" s="1">
        <v>45691.633148148147</v>
      </c>
      <c r="B46">
        <v>1.84</v>
      </c>
      <c r="C46">
        <v>-5.89</v>
      </c>
    </row>
    <row r="47" spans="1:3" x14ac:dyDescent="0.25">
      <c r="A47" s="1">
        <v>45691.633148148147</v>
      </c>
      <c r="B47">
        <v>1.88</v>
      </c>
      <c r="C47">
        <v>-6.1630000000000003</v>
      </c>
    </row>
    <row r="48" spans="1:3" x14ac:dyDescent="0.25">
      <c r="A48" s="1">
        <v>45691.633148148147</v>
      </c>
      <c r="B48">
        <v>1.92</v>
      </c>
      <c r="C48">
        <v>-6.1630000000000003</v>
      </c>
    </row>
    <row r="49" spans="1:3" x14ac:dyDescent="0.25">
      <c r="A49" s="1">
        <v>45691.633148148147</v>
      </c>
      <c r="B49">
        <v>1.96</v>
      </c>
      <c r="C49">
        <v>-6</v>
      </c>
    </row>
    <row r="50" spans="1:3" x14ac:dyDescent="0.25">
      <c r="A50" s="1">
        <v>45691.633159722223</v>
      </c>
      <c r="B50">
        <v>2</v>
      </c>
      <c r="C50">
        <v>-5.7270000000000003</v>
      </c>
    </row>
    <row r="51" spans="1:3" x14ac:dyDescent="0.25">
      <c r="A51" s="1">
        <v>45691.633159722223</v>
      </c>
      <c r="B51">
        <v>2.04</v>
      </c>
      <c r="C51">
        <v>-5.5090000000000003</v>
      </c>
    </row>
    <row r="52" spans="1:3" x14ac:dyDescent="0.25">
      <c r="A52" s="1">
        <v>45691.633159722223</v>
      </c>
      <c r="B52">
        <v>2.08</v>
      </c>
      <c r="C52">
        <v>-5.3449999999999998</v>
      </c>
    </row>
    <row r="53" spans="1:3" x14ac:dyDescent="0.25">
      <c r="A53" s="1">
        <v>45691.633159722223</v>
      </c>
      <c r="B53">
        <v>2.12</v>
      </c>
      <c r="C53">
        <v>-5.0720000000000001</v>
      </c>
    </row>
    <row r="54" spans="1:3" x14ac:dyDescent="0.25">
      <c r="A54" s="1">
        <v>45691.633159722223</v>
      </c>
      <c r="B54">
        <v>2.16</v>
      </c>
      <c r="C54">
        <v>-4.6909999999999998</v>
      </c>
    </row>
    <row r="55" spans="1:3" x14ac:dyDescent="0.25">
      <c r="A55" s="1">
        <v>45691.633159722223</v>
      </c>
      <c r="B55">
        <v>2.2000000000000002</v>
      </c>
      <c r="C55">
        <v>-4.3630000000000004</v>
      </c>
    </row>
    <row r="56" spans="1:3" x14ac:dyDescent="0.25">
      <c r="A56" s="1">
        <v>45691.633159722223</v>
      </c>
      <c r="B56">
        <v>2.2400000000000002</v>
      </c>
      <c r="C56">
        <v>-4.3090000000000002</v>
      </c>
    </row>
    <row r="57" spans="1:3" x14ac:dyDescent="0.25">
      <c r="A57" s="1">
        <v>45691.633159722223</v>
      </c>
      <c r="B57">
        <v>2.2799999999999998</v>
      </c>
      <c r="C57">
        <v>-4.5270000000000001</v>
      </c>
    </row>
    <row r="58" spans="1:3" x14ac:dyDescent="0.25">
      <c r="A58" s="1">
        <v>45691.633159722223</v>
      </c>
      <c r="B58">
        <v>2.3199999999999998</v>
      </c>
      <c r="C58">
        <v>-5.0179999999999998</v>
      </c>
    </row>
    <row r="59" spans="1:3" x14ac:dyDescent="0.25">
      <c r="A59" s="1">
        <v>45691.633159722223</v>
      </c>
      <c r="B59">
        <v>2.36</v>
      </c>
      <c r="C59">
        <v>-5.5629999999999997</v>
      </c>
    </row>
    <row r="60" spans="1:3" x14ac:dyDescent="0.25">
      <c r="A60" s="1">
        <v>45691.633159722223</v>
      </c>
      <c r="B60">
        <v>2.4</v>
      </c>
      <c r="C60">
        <v>-5.7809999999999997</v>
      </c>
    </row>
    <row r="61" spans="1:3" x14ac:dyDescent="0.25">
      <c r="A61" s="1">
        <v>45691.633159722223</v>
      </c>
      <c r="B61">
        <v>2.44</v>
      </c>
      <c r="C61">
        <v>-5.6719999999999997</v>
      </c>
    </row>
    <row r="62" spans="1:3" x14ac:dyDescent="0.25">
      <c r="A62" s="1">
        <v>45691.633159722223</v>
      </c>
      <c r="B62">
        <v>2.48</v>
      </c>
      <c r="C62">
        <v>-5.4539999999999997</v>
      </c>
    </row>
    <row r="63" spans="1:3" x14ac:dyDescent="0.25">
      <c r="A63" s="1">
        <v>45691.633159722223</v>
      </c>
      <c r="B63">
        <v>2.52</v>
      </c>
      <c r="C63">
        <v>-5.181</v>
      </c>
    </row>
    <row r="64" spans="1:3" x14ac:dyDescent="0.25">
      <c r="A64" s="1">
        <v>45691.633159722223</v>
      </c>
      <c r="B64">
        <v>2.56</v>
      </c>
      <c r="C64">
        <v>-4.6909999999999998</v>
      </c>
    </row>
    <row r="65" spans="1:3" x14ac:dyDescent="0.25">
      <c r="A65" s="1">
        <v>45691.633159722223</v>
      </c>
      <c r="B65">
        <v>2.6</v>
      </c>
      <c r="C65">
        <v>-4.0359999999999996</v>
      </c>
    </row>
    <row r="66" spans="1:3" x14ac:dyDescent="0.25">
      <c r="A66" s="1">
        <v>45691.633159722223</v>
      </c>
      <c r="B66">
        <v>2.64</v>
      </c>
      <c r="C66">
        <v>-3.6539999999999999</v>
      </c>
    </row>
    <row r="67" spans="1:3" x14ac:dyDescent="0.25">
      <c r="A67" s="1">
        <v>45691.633159722223</v>
      </c>
      <c r="B67">
        <v>2.68</v>
      </c>
      <c r="C67">
        <v>-3.7629999999999999</v>
      </c>
    </row>
    <row r="68" spans="1:3" x14ac:dyDescent="0.25">
      <c r="A68" s="1">
        <v>45691.633159722223</v>
      </c>
      <c r="B68">
        <v>2.72</v>
      </c>
      <c r="C68">
        <v>-4.3090000000000002</v>
      </c>
    </row>
    <row r="69" spans="1:3" x14ac:dyDescent="0.25">
      <c r="A69" s="1">
        <v>45691.633159722223</v>
      </c>
      <c r="B69">
        <v>2.76</v>
      </c>
      <c r="C69">
        <v>-4.9630000000000001</v>
      </c>
    </row>
    <row r="70" spans="1:3" x14ac:dyDescent="0.25">
      <c r="A70" s="1">
        <v>45691.633159722223</v>
      </c>
      <c r="B70">
        <v>2.8</v>
      </c>
      <c r="C70">
        <v>-5.2910000000000004</v>
      </c>
    </row>
    <row r="71" spans="1:3" x14ac:dyDescent="0.25">
      <c r="A71" s="1">
        <v>45691.633159722223</v>
      </c>
      <c r="B71">
        <v>2.84</v>
      </c>
      <c r="C71">
        <v>-5.2910000000000004</v>
      </c>
    </row>
    <row r="72" spans="1:3" x14ac:dyDescent="0.25">
      <c r="A72" s="1">
        <v>45691.633159722223</v>
      </c>
      <c r="B72">
        <v>2.88</v>
      </c>
      <c r="C72">
        <v>-5.2359999999999998</v>
      </c>
    </row>
    <row r="73" spans="1:3" x14ac:dyDescent="0.25">
      <c r="A73" s="1">
        <v>45691.633159722223</v>
      </c>
      <c r="B73">
        <v>2.92</v>
      </c>
      <c r="C73">
        <v>-5.2910000000000004</v>
      </c>
    </row>
    <row r="74" spans="1:3" x14ac:dyDescent="0.25">
      <c r="A74" s="1">
        <v>45691.633159722223</v>
      </c>
      <c r="B74">
        <v>2.96</v>
      </c>
      <c r="C74">
        <v>-5.0179999999999998</v>
      </c>
    </row>
    <row r="75" spans="1:3" x14ac:dyDescent="0.25">
      <c r="A75" s="1">
        <v>45691.633171296293</v>
      </c>
      <c r="B75">
        <v>3</v>
      </c>
      <c r="C75">
        <v>-4.0910000000000002</v>
      </c>
    </row>
    <row r="76" spans="1:3" x14ac:dyDescent="0.25">
      <c r="A76" s="1">
        <v>45691.633171296293</v>
      </c>
      <c r="B76">
        <v>3.04</v>
      </c>
      <c r="C76">
        <v>-3</v>
      </c>
    </row>
    <row r="77" spans="1:3" x14ac:dyDescent="0.25">
      <c r="A77" s="1">
        <v>45691.633171296293</v>
      </c>
      <c r="B77">
        <v>3.08</v>
      </c>
      <c r="C77">
        <v>-2.673</v>
      </c>
    </row>
    <row r="78" spans="1:3" x14ac:dyDescent="0.25">
      <c r="A78" s="1">
        <v>45691.633171296293</v>
      </c>
      <c r="B78">
        <v>3.12</v>
      </c>
      <c r="C78">
        <v>-3.3820000000000001</v>
      </c>
    </row>
    <row r="79" spans="1:3" x14ac:dyDescent="0.25">
      <c r="A79" s="1">
        <v>45691.633171296293</v>
      </c>
      <c r="B79">
        <v>3.16</v>
      </c>
      <c r="C79">
        <v>-4.4720000000000004</v>
      </c>
    </row>
    <row r="80" spans="1:3" x14ac:dyDescent="0.25">
      <c r="A80" s="1">
        <v>45691.633171296293</v>
      </c>
      <c r="B80">
        <v>3.2</v>
      </c>
      <c r="C80">
        <v>-5.2359999999999998</v>
      </c>
    </row>
    <row r="81" spans="1:3" x14ac:dyDescent="0.25">
      <c r="A81" s="1">
        <v>45691.633171296293</v>
      </c>
      <c r="B81">
        <v>3.24</v>
      </c>
      <c r="C81">
        <v>-5.3449999999999998</v>
      </c>
    </row>
    <row r="82" spans="1:3" x14ac:dyDescent="0.25">
      <c r="A82" s="1">
        <v>45691.633171296293</v>
      </c>
      <c r="B82">
        <v>3.28</v>
      </c>
      <c r="C82">
        <v>-4.8540000000000001</v>
      </c>
    </row>
    <row r="83" spans="1:3" x14ac:dyDescent="0.25">
      <c r="A83" s="1">
        <v>45691.633171296293</v>
      </c>
      <c r="B83">
        <v>3.32</v>
      </c>
      <c r="C83">
        <v>-3.927</v>
      </c>
    </row>
    <row r="84" spans="1:3" x14ac:dyDescent="0.25">
      <c r="A84" s="1">
        <v>45691.633171296293</v>
      </c>
      <c r="B84">
        <v>3.36</v>
      </c>
      <c r="C84">
        <v>-3.0539999999999998</v>
      </c>
    </row>
    <row r="85" spans="1:3" x14ac:dyDescent="0.25">
      <c r="A85" s="1">
        <v>45691.633171296293</v>
      </c>
      <c r="B85">
        <v>3.4</v>
      </c>
      <c r="C85">
        <v>-2.7269999999999999</v>
      </c>
    </row>
    <row r="86" spans="1:3" x14ac:dyDescent="0.25">
      <c r="A86" s="1">
        <v>45691.633171296293</v>
      </c>
      <c r="B86">
        <v>3.44</v>
      </c>
      <c r="C86">
        <v>-2.9449999999999998</v>
      </c>
    </row>
    <row r="87" spans="1:3" x14ac:dyDescent="0.25">
      <c r="A87" s="1">
        <v>45691.633171296293</v>
      </c>
      <c r="B87">
        <v>3.48</v>
      </c>
      <c r="C87">
        <v>-3.5449999999999999</v>
      </c>
    </row>
    <row r="88" spans="1:3" x14ac:dyDescent="0.25">
      <c r="A88" s="1">
        <v>45691.633171296293</v>
      </c>
      <c r="B88">
        <v>3.52</v>
      </c>
      <c r="C88">
        <v>-4.3090000000000002</v>
      </c>
    </row>
    <row r="89" spans="1:3" x14ac:dyDescent="0.25">
      <c r="A89" s="1">
        <v>45691.633171296293</v>
      </c>
      <c r="B89">
        <v>3.56</v>
      </c>
      <c r="C89">
        <v>-4.8540000000000001</v>
      </c>
    </row>
    <row r="90" spans="1:3" x14ac:dyDescent="0.25">
      <c r="A90" s="1">
        <v>45691.633171296293</v>
      </c>
      <c r="B90">
        <v>3.6</v>
      </c>
      <c r="C90">
        <v>-4.8540000000000001</v>
      </c>
    </row>
    <row r="91" spans="1:3" x14ac:dyDescent="0.25">
      <c r="A91" s="1">
        <v>45691.633171296293</v>
      </c>
      <c r="B91">
        <v>3.64</v>
      </c>
      <c r="C91">
        <v>-4.2539999999999996</v>
      </c>
    </row>
    <row r="92" spans="1:3" x14ac:dyDescent="0.25">
      <c r="A92" s="1">
        <v>45691.633171296293</v>
      </c>
      <c r="B92">
        <v>3.68</v>
      </c>
      <c r="C92">
        <v>-3.3820000000000001</v>
      </c>
    </row>
    <row r="93" spans="1:3" x14ac:dyDescent="0.25">
      <c r="A93" s="1">
        <v>45691.633171296293</v>
      </c>
      <c r="B93">
        <v>3.72</v>
      </c>
      <c r="C93">
        <v>-2.5630000000000002</v>
      </c>
    </row>
    <row r="94" spans="1:3" x14ac:dyDescent="0.25">
      <c r="A94" s="1">
        <v>45691.633171296293</v>
      </c>
      <c r="B94">
        <v>3.76</v>
      </c>
      <c r="C94">
        <v>-2.2360000000000002</v>
      </c>
    </row>
    <row r="95" spans="1:3" x14ac:dyDescent="0.25">
      <c r="A95" s="1">
        <v>45691.633171296293</v>
      </c>
      <c r="B95">
        <v>3.8</v>
      </c>
      <c r="C95">
        <v>-2.8359999999999999</v>
      </c>
    </row>
    <row r="96" spans="1:3" x14ac:dyDescent="0.25">
      <c r="A96" s="1">
        <v>45691.633171296293</v>
      </c>
      <c r="B96">
        <v>3.84</v>
      </c>
      <c r="C96">
        <v>-3.927</v>
      </c>
    </row>
    <row r="97" spans="1:3" x14ac:dyDescent="0.25">
      <c r="A97" s="1">
        <v>45691.633171296293</v>
      </c>
      <c r="B97">
        <v>3.88</v>
      </c>
      <c r="C97">
        <v>-4.6360000000000001</v>
      </c>
    </row>
    <row r="98" spans="1:3" x14ac:dyDescent="0.25">
      <c r="A98" s="1">
        <v>45691.633171296293</v>
      </c>
      <c r="B98">
        <v>3.92</v>
      </c>
      <c r="C98">
        <v>-4.5270000000000001</v>
      </c>
    </row>
    <row r="99" spans="1:3" x14ac:dyDescent="0.25">
      <c r="A99" s="1">
        <v>45691.633171296293</v>
      </c>
      <c r="B99">
        <v>3.96</v>
      </c>
      <c r="C99">
        <v>-3.8719999999999999</v>
      </c>
    </row>
    <row r="100" spans="1:3" x14ac:dyDescent="0.25">
      <c r="A100" s="1">
        <v>45691.63318287037</v>
      </c>
      <c r="B100">
        <v>4</v>
      </c>
      <c r="C100">
        <v>-3.109</v>
      </c>
    </row>
    <row r="101" spans="1:3" x14ac:dyDescent="0.25">
      <c r="A101" s="1">
        <v>45691.63318287037</v>
      </c>
      <c r="B101">
        <v>4.04</v>
      </c>
      <c r="C101">
        <v>-2.4540000000000002</v>
      </c>
    </row>
    <row r="102" spans="1:3" x14ac:dyDescent="0.25">
      <c r="A102" s="1">
        <v>45691.63318287037</v>
      </c>
      <c r="B102">
        <v>4.08</v>
      </c>
      <c r="C102">
        <v>-2.3450000000000002</v>
      </c>
    </row>
    <row r="103" spans="1:3" x14ac:dyDescent="0.25">
      <c r="A103" s="1">
        <v>45691.63318287037</v>
      </c>
      <c r="B103">
        <v>4.12</v>
      </c>
      <c r="C103">
        <v>-2.891</v>
      </c>
    </row>
    <row r="104" spans="1:3" x14ac:dyDescent="0.25">
      <c r="A104" s="1">
        <v>45691.63318287037</v>
      </c>
      <c r="B104">
        <v>4.16</v>
      </c>
      <c r="C104">
        <v>-3.7090000000000001</v>
      </c>
    </row>
    <row r="105" spans="1:3" x14ac:dyDescent="0.25">
      <c r="A105" s="1">
        <v>45691.63318287037</v>
      </c>
      <c r="B105">
        <v>4.2</v>
      </c>
      <c r="C105">
        <v>-4.2539999999999996</v>
      </c>
    </row>
    <row r="106" spans="1:3" x14ac:dyDescent="0.25">
      <c r="A106" s="1">
        <v>45691.63318287037</v>
      </c>
      <c r="B106">
        <v>4.24</v>
      </c>
      <c r="C106">
        <v>-4.1449999999999996</v>
      </c>
    </row>
    <row r="107" spans="1:3" x14ac:dyDescent="0.25">
      <c r="A107" s="1">
        <v>45691.63318287037</v>
      </c>
      <c r="B107">
        <v>4.28</v>
      </c>
      <c r="C107">
        <v>-3.4910000000000001</v>
      </c>
    </row>
    <row r="108" spans="1:3" x14ac:dyDescent="0.25">
      <c r="A108" s="1">
        <v>45691.63318287037</v>
      </c>
      <c r="B108">
        <v>4.32</v>
      </c>
      <c r="C108">
        <v>-2.4540000000000002</v>
      </c>
    </row>
    <row r="109" spans="1:3" x14ac:dyDescent="0.25">
      <c r="A109" s="1">
        <v>45691.63318287037</v>
      </c>
      <c r="B109">
        <v>4.3600000000000003</v>
      </c>
      <c r="C109">
        <v>-1.6359999999999999</v>
      </c>
    </row>
    <row r="110" spans="1:3" x14ac:dyDescent="0.25">
      <c r="A110" s="1">
        <v>45691.63318287037</v>
      </c>
      <c r="B110">
        <v>4.4000000000000004</v>
      </c>
      <c r="C110">
        <v>-1.7450000000000001</v>
      </c>
    </row>
    <row r="111" spans="1:3" x14ac:dyDescent="0.25">
      <c r="A111" s="1">
        <v>45691.63318287037</v>
      </c>
      <c r="B111">
        <v>4.4400000000000004</v>
      </c>
      <c r="C111">
        <v>-2.8359999999999999</v>
      </c>
    </row>
    <row r="112" spans="1:3" x14ac:dyDescent="0.25">
      <c r="A112" s="1">
        <v>45691.63318287037</v>
      </c>
      <c r="B112">
        <v>4.4800000000000004</v>
      </c>
      <c r="C112">
        <v>-4.0359999999999996</v>
      </c>
    </row>
    <row r="113" spans="1:3" x14ac:dyDescent="0.25">
      <c r="A113" s="1">
        <v>45691.63318287037</v>
      </c>
      <c r="B113">
        <v>4.5199999999999996</v>
      </c>
      <c r="C113">
        <v>-3.8180000000000001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09E27-AEEF-4965-ADDC-1E43E06B9587}">
  <dimension ref="A1:F110"/>
  <sheetViews>
    <sheetView tabSelected="1" workbookViewId="0">
      <selection activeCell="F3" sqref="F3"/>
    </sheetView>
  </sheetViews>
  <sheetFormatPr defaultRowHeight="15" x14ac:dyDescent="0.25"/>
  <cols>
    <col min="1" max="1" width="21.5703125" customWidth="1"/>
    <col min="2" max="2" width="20.7109375" customWidth="1"/>
    <col min="3" max="3" width="35.5703125" customWidth="1"/>
    <col min="4" max="4" width="23.42578125" customWidth="1"/>
    <col min="5" max="5" width="12" bestFit="1" customWidth="1"/>
    <col min="6" max="6" width="12.7109375" bestFit="1" customWidth="1"/>
  </cols>
  <sheetData>
    <row r="1" spans="1:6" x14ac:dyDescent="0.25">
      <c r="A1" t="s">
        <v>9</v>
      </c>
      <c r="B1" t="s">
        <v>10</v>
      </c>
      <c r="C1" t="s">
        <v>11</v>
      </c>
      <c r="D1" t="s">
        <v>12</v>
      </c>
      <c r="E1" t="s">
        <v>15</v>
      </c>
      <c r="F1" t="s">
        <v>16</v>
      </c>
    </row>
    <row r="2" spans="1:6" x14ac:dyDescent="0.25">
      <c r="A2" s="1">
        <v>45691.63354166667</v>
      </c>
      <c r="B2">
        <v>0.08</v>
      </c>
      <c r="C2">
        <v>-0.65400000000000003</v>
      </c>
      <c r="E2">
        <f>AVERAGE(D3:D110)</f>
        <v>8.0037742921113073E-4</v>
      </c>
      <c r="F2">
        <f>(E2-'Run 2'!E2)</f>
        <v>1.6432438570757979E-5</v>
      </c>
    </row>
    <row r="3" spans="1:6" x14ac:dyDescent="0.25">
      <c r="A3" s="1">
        <v>45691.63354166667</v>
      </c>
      <c r="B3">
        <v>0.76</v>
      </c>
      <c r="C3">
        <v>-7.5810000000000004</v>
      </c>
      <c r="D3" cm="1">
        <f t="array" ref="D3">(rad*mass*grav)/-C3-mass*rad^2</f>
        <v>4.6655026662049861E-4</v>
      </c>
    </row>
    <row r="4" spans="1:6" x14ac:dyDescent="0.25">
      <c r="A4" s="1">
        <v>45691.63354166667</v>
      </c>
      <c r="B4">
        <v>0.8</v>
      </c>
      <c r="C4">
        <v>-7.4180000000000001</v>
      </c>
      <c r="D4" cm="1">
        <f t="array" ref="D4">(rad*mass*grav)/-C4-mass*rad^2</f>
        <v>4.76999889795093E-4</v>
      </c>
    </row>
    <row r="5" spans="1:6" x14ac:dyDescent="0.25">
      <c r="A5" s="1">
        <v>45691.63354166667</v>
      </c>
      <c r="B5">
        <v>0.84</v>
      </c>
      <c r="C5">
        <v>-7.1989999999999998</v>
      </c>
      <c r="D5" cm="1">
        <f t="array" ref="D5">(rad*mass*grav)/-C5-mass*rad^2</f>
        <v>4.9178455393110161E-4</v>
      </c>
    </row>
    <row r="6" spans="1:6" x14ac:dyDescent="0.25">
      <c r="A6" s="1">
        <v>45691.63354166667</v>
      </c>
      <c r="B6">
        <v>0.88</v>
      </c>
      <c r="C6">
        <v>-7.09</v>
      </c>
      <c r="D6" cm="1">
        <f t="array" ref="D6">(rad*mass*grav)/-C6-mass*rad^2</f>
        <v>4.9948355606488012E-4</v>
      </c>
    </row>
    <row r="7" spans="1:6" x14ac:dyDescent="0.25">
      <c r="A7" s="1">
        <v>45691.63354166667</v>
      </c>
      <c r="B7">
        <v>0.92</v>
      </c>
      <c r="C7">
        <v>-7.0359999999999996</v>
      </c>
      <c r="D7" cm="1">
        <f t="array" ref="D7">(rad*mass*grav)/-C7-mass*rad^2</f>
        <v>5.0338610218874367E-4</v>
      </c>
    </row>
    <row r="8" spans="1:6" x14ac:dyDescent="0.25">
      <c r="A8" s="1">
        <v>45691.63354166667</v>
      </c>
      <c r="B8">
        <v>0.96</v>
      </c>
      <c r="C8">
        <v>-7.0359999999999996</v>
      </c>
      <c r="D8" cm="1">
        <f t="array" ref="D8">(rad*mass*grav)/-C8-mass*rad^2</f>
        <v>5.0338610218874367E-4</v>
      </c>
    </row>
    <row r="9" spans="1:6" x14ac:dyDescent="0.25">
      <c r="A9" s="1">
        <v>45691.633553240739</v>
      </c>
      <c r="B9">
        <v>1</v>
      </c>
      <c r="C9">
        <v>-7.09</v>
      </c>
      <c r="D9" cm="1">
        <f t="array" ref="D9">(rad*mass*grav)/-C9-mass*rad^2</f>
        <v>4.9948355606488012E-4</v>
      </c>
    </row>
    <row r="10" spans="1:6" x14ac:dyDescent="0.25">
      <c r="A10" s="1">
        <v>45691.633553240739</v>
      </c>
      <c r="B10">
        <v>1.04</v>
      </c>
      <c r="C10">
        <v>-7.09</v>
      </c>
      <c r="D10" cm="1">
        <f t="array" ref="D10">(rad*mass*grav)/-C10-mass*rad^2</f>
        <v>4.9948355606488012E-4</v>
      </c>
    </row>
    <row r="11" spans="1:6" x14ac:dyDescent="0.25">
      <c r="A11" s="1">
        <v>45691.633553240739</v>
      </c>
      <c r="B11">
        <v>1.08</v>
      </c>
      <c r="C11">
        <v>-6.9809999999999999</v>
      </c>
      <c r="D11" cm="1">
        <f t="array" ref="D11">(rad*mass*grav)/-C11-mass*rad^2</f>
        <v>5.0742297969488619E-4</v>
      </c>
    </row>
    <row r="12" spans="1:6" x14ac:dyDescent="0.25">
      <c r="A12" s="1">
        <v>45691.633553240739</v>
      </c>
      <c r="B12">
        <v>1.1200000000000001</v>
      </c>
      <c r="C12">
        <v>-6.7089999999999996</v>
      </c>
      <c r="D12" cm="1">
        <f t="array" ref="D12">(rad*mass*grav)/-C12-mass*rad^2</f>
        <v>5.2836023867193331E-4</v>
      </c>
    </row>
    <row r="13" spans="1:6" x14ac:dyDescent="0.25">
      <c r="A13" s="1">
        <v>45691.633553240739</v>
      </c>
      <c r="B13">
        <v>1.1599999999999999</v>
      </c>
      <c r="C13">
        <v>-6.49</v>
      </c>
      <c r="D13" cm="1">
        <f t="array" ref="D13">(rad*mass*grav)/-C13-mass*rad^2</f>
        <v>5.4649316833590143E-4</v>
      </c>
    </row>
    <row r="14" spans="1:6" x14ac:dyDescent="0.25">
      <c r="A14" s="1">
        <v>45691.633553240739</v>
      </c>
      <c r="B14">
        <v>1.2</v>
      </c>
      <c r="C14">
        <v>-6.49</v>
      </c>
      <c r="D14" cm="1">
        <f t="array" ref="D14">(rad*mass*grav)/-C14-mass*rad^2</f>
        <v>5.4649316833590143E-4</v>
      </c>
    </row>
    <row r="15" spans="1:6" x14ac:dyDescent="0.25">
      <c r="A15" s="1">
        <v>45691.633553240739</v>
      </c>
      <c r="B15">
        <v>1.24</v>
      </c>
      <c r="C15">
        <v>-6.6</v>
      </c>
      <c r="D15" cm="1">
        <f t="array" ref="D15">(rad*mass*grav)/-C15-mass*rad^2</f>
        <v>5.3723488636363639E-4</v>
      </c>
    </row>
    <row r="16" spans="1:6" x14ac:dyDescent="0.25">
      <c r="A16" s="1">
        <v>45691.633553240739</v>
      </c>
      <c r="B16">
        <v>1.28</v>
      </c>
      <c r="C16">
        <v>-6.6</v>
      </c>
      <c r="D16" cm="1">
        <f t="array" ref="D16">(rad*mass*grav)/-C16-mass*rad^2</f>
        <v>5.3723488636363639E-4</v>
      </c>
    </row>
    <row r="17" spans="1:4" x14ac:dyDescent="0.25">
      <c r="A17" s="1">
        <v>45691.633553240739</v>
      </c>
      <c r="B17">
        <v>1.32</v>
      </c>
      <c r="C17">
        <v>-6.4359999999999999</v>
      </c>
      <c r="D17" cm="1">
        <f t="array" ref="D17">(rad*mass*grav)/-C17-mass*rad^2</f>
        <v>5.5115395665009321E-4</v>
      </c>
    </row>
    <row r="18" spans="1:4" x14ac:dyDescent="0.25">
      <c r="A18" s="1">
        <v>45691.633553240739</v>
      </c>
      <c r="B18">
        <v>1.36</v>
      </c>
      <c r="C18">
        <v>-6.2720000000000002</v>
      </c>
      <c r="D18" cm="1">
        <f t="array" ref="D18">(rad*mass*grav)/-C18-mass*rad^2</f>
        <v>5.6580093750000003E-4</v>
      </c>
    </row>
    <row r="19" spans="1:4" x14ac:dyDescent="0.25">
      <c r="A19" s="1">
        <v>45691.633553240739</v>
      </c>
      <c r="B19">
        <v>1.4</v>
      </c>
      <c r="C19">
        <v>-6.2720000000000002</v>
      </c>
      <c r="D19" cm="1">
        <f t="array" ref="D19">(rad*mass*grav)/-C19-mass*rad^2</f>
        <v>5.6580093750000003E-4</v>
      </c>
    </row>
    <row r="20" spans="1:4" x14ac:dyDescent="0.25">
      <c r="A20" s="1">
        <v>45691.633553240739</v>
      </c>
      <c r="B20">
        <v>1.44</v>
      </c>
      <c r="C20">
        <v>-6.2720000000000002</v>
      </c>
      <c r="D20" cm="1">
        <f t="array" ref="D20">(rad*mass*grav)/-C20-mass*rad^2</f>
        <v>5.6580093750000003E-4</v>
      </c>
    </row>
    <row r="21" spans="1:4" x14ac:dyDescent="0.25">
      <c r="A21" s="1">
        <v>45691.633553240739</v>
      </c>
      <c r="B21">
        <v>1.48</v>
      </c>
      <c r="C21">
        <v>-6.1630000000000003</v>
      </c>
      <c r="D21" cm="1">
        <f t="array" ref="D21">(rad*mass*grav)/-C21-mass*rad^2</f>
        <v>5.7596704344475087E-4</v>
      </c>
    </row>
    <row r="22" spans="1:4" x14ac:dyDescent="0.25">
      <c r="A22" s="1">
        <v>45691.633553240739</v>
      </c>
      <c r="B22">
        <v>1.52</v>
      </c>
      <c r="C22">
        <v>-6.0540000000000003</v>
      </c>
      <c r="D22" cm="1">
        <f t="array" ref="D22">(rad*mass*grav)/-C22-mass*rad^2</f>
        <v>5.8649922324083249E-4</v>
      </c>
    </row>
    <row r="23" spans="1:4" x14ac:dyDescent="0.25">
      <c r="A23" s="1">
        <v>45691.633553240739</v>
      </c>
      <c r="B23">
        <v>1.56</v>
      </c>
      <c r="C23">
        <v>-6.109</v>
      </c>
      <c r="D23" cm="1">
        <f t="array" ref="D23">(rad*mass*grav)/-C23-mass*rad^2</f>
        <v>5.8113784436896387E-4</v>
      </c>
    </row>
    <row r="24" spans="1:4" x14ac:dyDescent="0.25">
      <c r="A24" s="1">
        <v>45691.633553240739</v>
      </c>
      <c r="B24">
        <v>1.6</v>
      </c>
      <c r="C24">
        <v>-6.327</v>
      </c>
      <c r="D24" cm="1">
        <f t="array" ref="D24">(rad*mass*grav)/-C24-mass*rad^2</f>
        <v>5.6080421586059744E-4</v>
      </c>
    </row>
    <row r="25" spans="1:4" x14ac:dyDescent="0.25">
      <c r="A25" s="1">
        <v>45691.633553240739</v>
      </c>
      <c r="B25">
        <v>1.64</v>
      </c>
      <c r="C25">
        <v>-6.3810000000000002</v>
      </c>
      <c r="D25" cm="1">
        <f t="array" ref="D25">(rad*mass*grav)/-C25-mass*rad^2</f>
        <v>5.559821456276446E-4</v>
      </c>
    </row>
    <row r="26" spans="1:4" x14ac:dyDescent="0.25">
      <c r="A26" s="1">
        <v>45691.633553240739</v>
      </c>
      <c r="B26">
        <v>1.68</v>
      </c>
      <c r="C26">
        <v>-6.2720000000000002</v>
      </c>
      <c r="D26" cm="1">
        <f t="array" ref="D26">(rad*mass*grav)/-C26-mass*rad^2</f>
        <v>5.6580093750000003E-4</v>
      </c>
    </row>
    <row r="27" spans="1:4" x14ac:dyDescent="0.25">
      <c r="A27" s="1">
        <v>45691.633553240739</v>
      </c>
      <c r="B27">
        <v>1.72</v>
      </c>
      <c r="C27">
        <v>-6.218</v>
      </c>
      <c r="D27" cm="1">
        <f t="array" ref="D27">(rad*mass*grav)/-C27-mass*rad^2</f>
        <v>5.7079280837889993E-4</v>
      </c>
    </row>
    <row r="28" spans="1:4" x14ac:dyDescent="0.25">
      <c r="A28" s="1">
        <v>45691.633553240739</v>
      </c>
      <c r="B28">
        <v>1.76</v>
      </c>
      <c r="C28">
        <v>-6.327</v>
      </c>
      <c r="D28" cm="1">
        <f t="array" ref="D28">(rad*mass*grav)/-C28-mass*rad^2</f>
        <v>5.6080421586059744E-4</v>
      </c>
    </row>
    <row r="29" spans="1:4" x14ac:dyDescent="0.25">
      <c r="A29" s="1">
        <v>45691.633553240739</v>
      </c>
      <c r="B29">
        <v>1.8</v>
      </c>
      <c r="C29">
        <v>-6.4359999999999999</v>
      </c>
      <c r="D29" cm="1">
        <f t="array" ref="D29">(rad*mass*grav)/-C29-mass*rad^2</f>
        <v>5.5115395665009321E-4</v>
      </c>
    </row>
    <row r="30" spans="1:4" x14ac:dyDescent="0.25">
      <c r="A30" s="1">
        <v>45691.633553240739</v>
      </c>
      <c r="B30">
        <v>1.84</v>
      </c>
      <c r="C30">
        <v>-6.327</v>
      </c>
      <c r="D30" cm="1">
        <f t="array" ref="D30">(rad*mass*grav)/-C30-mass*rad^2</f>
        <v>5.6080421586059744E-4</v>
      </c>
    </row>
    <row r="31" spans="1:4" x14ac:dyDescent="0.25">
      <c r="A31" s="1">
        <v>45691.633553240739</v>
      </c>
      <c r="B31">
        <v>1.88</v>
      </c>
      <c r="C31">
        <v>-6.109</v>
      </c>
      <c r="D31" cm="1">
        <f t="array" ref="D31">(rad*mass*grav)/-C31-mass*rad^2</f>
        <v>5.8113784436896387E-4</v>
      </c>
    </row>
    <row r="32" spans="1:4" x14ac:dyDescent="0.25">
      <c r="A32" s="1">
        <v>45691.633553240739</v>
      </c>
      <c r="B32">
        <v>1.92</v>
      </c>
      <c r="C32">
        <v>-6</v>
      </c>
      <c r="D32" cm="1">
        <f t="array" ref="D32">(rad*mass*grav)/-C32-mass*rad^2</f>
        <v>5.9185875000000005E-4</v>
      </c>
    </row>
    <row r="33" spans="1:4" x14ac:dyDescent="0.25">
      <c r="A33" s="1">
        <v>45691.633553240739</v>
      </c>
      <c r="B33">
        <v>1.96</v>
      </c>
      <c r="C33">
        <v>-6.0540000000000003</v>
      </c>
      <c r="D33" cm="1">
        <f t="array" ref="D33">(rad*mass*grav)/-C33-mass*rad^2</f>
        <v>5.8649922324083249E-4</v>
      </c>
    </row>
    <row r="34" spans="1:4" x14ac:dyDescent="0.25">
      <c r="A34" s="1">
        <v>45691.633564814816</v>
      </c>
      <c r="B34">
        <v>2</v>
      </c>
      <c r="C34">
        <v>-6.0540000000000003</v>
      </c>
      <c r="D34" cm="1">
        <f t="array" ref="D34">(rad*mass*grav)/-C34-mass*rad^2</f>
        <v>5.8649922324083249E-4</v>
      </c>
    </row>
    <row r="35" spans="1:4" x14ac:dyDescent="0.25">
      <c r="A35" s="1">
        <v>45691.633564814816</v>
      </c>
      <c r="B35">
        <v>2.04</v>
      </c>
      <c r="C35">
        <v>-5.7809999999999997</v>
      </c>
      <c r="D35" cm="1">
        <f t="array" ref="D35">(rad*mass*grav)/-C35-mass*rad^2</f>
        <v>6.1462105539699015E-4</v>
      </c>
    </row>
    <row r="36" spans="1:4" x14ac:dyDescent="0.25">
      <c r="A36" s="1">
        <v>45691.633564814816</v>
      </c>
      <c r="B36">
        <v>2.08</v>
      </c>
      <c r="C36">
        <v>-5.2910000000000004</v>
      </c>
      <c r="D36" cm="1">
        <f t="array" ref="D36">(rad*mass*grav)/-C36-mass*rad^2</f>
        <v>6.7237500637875637E-4</v>
      </c>
    </row>
    <row r="37" spans="1:4" x14ac:dyDescent="0.25">
      <c r="A37" s="1">
        <v>45691.633564814816</v>
      </c>
      <c r="B37">
        <v>2.12</v>
      </c>
      <c r="C37">
        <v>-4.9630000000000001</v>
      </c>
      <c r="D37" cm="1">
        <f t="array" ref="D37">(rad*mass*grav)/-C37-mass*rad^2</f>
        <v>7.1740668723554307E-4</v>
      </c>
    </row>
    <row r="38" spans="1:4" x14ac:dyDescent="0.25">
      <c r="A38" s="1">
        <v>45691.633564814816</v>
      </c>
      <c r="B38">
        <v>2.16</v>
      </c>
      <c r="C38">
        <v>-5.0179999999999998</v>
      </c>
      <c r="D38" cm="1">
        <f t="array" ref="D38">(rad*mass*grav)/-C38-mass*rad^2</f>
        <v>7.0944483509366289E-4</v>
      </c>
    </row>
    <row r="39" spans="1:4" x14ac:dyDescent="0.25">
      <c r="A39" s="1">
        <v>45691.633564814816</v>
      </c>
      <c r="B39">
        <v>2.2000000000000002</v>
      </c>
      <c r="C39">
        <v>-5.181</v>
      </c>
      <c r="D39" cm="1">
        <f t="array" ref="D39">(rad*mass*grav)/-C39-mass*rad^2</f>
        <v>6.8684164664157502E-4</v>
      </c>
    </row>
    <row r="40" spans="1:4" x14ac:dyDescent="0.25">
      <c r="A40" s="1">
        <v>45691.633564814816</v>
      </c>
      <c r="B40">
        <v>2.2400000000000002</v>
      </c>
      <c r="C40">
        <v>-5.181</v>
      </c>
      <c r="D40" cm="1">
        <f t="array" ref="D40">(rad*mass*grav)/-C40-mass*rad^2</f>
        <v>6.8684164664157502E-4</v>
      </c>
    </row>
    <row r="41" spans="1:4" x14ac:dyDescent="0.25">
      <c r="A41" s="1">
        <v>45691.633564814816</v>
      </c>
      <c r="B41">
        <v>2.2799999999999998</v>
      </c>
      <c r="C41">
        <v>-5.0720000000000001</v>
      </c>
      <c r="D41" cm="1">
        <f t="array" ref="D41">(rad*mass*grav)/-C41-mass*rad^2</f>
        <v>7.0179573738170351E-4</v>
      </c>
    </row>
    <row r="42" spans="1:4" x14ac:dyDescent="0.25">
      <c r="A42" s="1">
        <v>45691.633564814816</v>
      </c>
      <c r="B42">
        <v>2.3199999999999998</v>
      </c>
      <c r="C42">
        <v>-5.2359999999999998</v>
      </c>
      <c r="D42" cm="1">
        <f t="array" ref="D42">(rad*mass*grav)/-C42-mass*rad^2</f>
        <v>6.7953234625668451E-4</v>
      </c>
    </row>
    <row r="43" spans="1:4" x14ac:dyDescent="0.25">
      <c r="A43" s="1">
        <v>45691.633564814816</v>
      </c>
      <c r="B43">
        <v>2.36</v>
      </c>
      <c r="C43">
        <v>-5.6719999999999997</v>
      </c>
      <c r="D43" cm="1">
        <f t="array" ref="D43">(rad*mass*grav)/-C43-mass*rad^2</f>
        <v>6.2660538258110018E-4</v>
      </c>
    </row>
    <row r="44" spans="1:4" x14ac:dyDescent="0.25">
      <c r="A44" s="1">
        <v>45691.633564814816</v>
      </c>
      <c r="B44">
        <v>2.4</v>
      </c>
      <c r="C44">
        <v>-6</v>
      </c>
      <c r="D44" cm="1">
        <f t="array" ref="D44">(rad*mass*grav)/-C44-mass*rad^2</f>
        <v>5.9185875000000005E-4</v>
      </c>
    </row>
    <row r="45" spans="1:4" x14ac:dyDescent="0.25">
      <c r="A45" s="1">
        <v>45691.633564814816</v>
      </c>
      <c r="B45">
        <v>2.44</v>
      </c>
      <c r="C45">
        <v>-6.109</v>
      </c>
      <c r="D45" cm="1">
        <f t="array" ref="D45">(rad*mass*grav)/-C45-mass*rad^2</f>
        <v>5.8113784436896387E-4</v>
      </c>
    </row>
    <row r="46" spans="1:4" x14ac:dyDescent="0.25">
      <c r="A46" s="1">
        <v>45691.633564814816</v>
      </c>
      <c r="B46">
        <v>2.48</v>
      </c>
      <c r="C46">
        <v>-6</v>
      </c>
      <c r="D46" cm="1">
        <f t="array" ref="D46">(rad*mass*grav)/-C46-mass*rad^2</f>
        <v>5.9185875000000005E-4</v>
      </c>
    </row>
    <row r="47" spans="1:4" x14ac:dyDescent="0.25">
      <c r="A47" s="1">
        <v>45691.633564814816</v>
      </c>
      <c r="B47">
        <v>2.52</v>
      </c>
      <c r="C47">
        <v>-5.8360000000000003</v>
      </c>
      <c r="D47" cm="1">
        <f t="array" ref="D47">(rad*mass*grav)/-C47-mass*rad^2</f>
        <v>6.0874385109664154E-4</v>
      </c>
    </row>
    <row r="48" spans="1:4" x14ac:dyDescent="0.25">
      <c r="A48" s="1">
        <v>45691.633564814816</v>
      </c>
      <c r="B48">
        <v>2.56</v>
      </c>
      <c r="C48">
        <v>-5.5629999999999997</v>
      </c>
      <c r="D48" cm="1">
        <f t="array" ref="D48">(rad*mass*grav)/-C48-mass*rad^2</f>
        <v>6.3905934545209421E-4</v>
      </c>
    </row>
    <row r="49" spans="1:4" x14ac:dyDescent="0.25">
      <c r="A49" s="1">
        <v>45691.633564814816</v>
      </c>
      <c r="B49">
        <v>2.6</v>
      </c>
      <c r="C49">
        <v>-5.181</v>
      </c>
      <c r="D49" cm="1">
        <f t="array" ref="D49">(rad*mass*grav)/-C49-mass*rad^2</f>
        <v>6.8684164664157502E-4</v>
      </c>
    </row>
    <row r="50" spans="1:4" x14ac:dyDescent="0.25">
      <c r="A50" s="1">
        <v>45691.633564814816</v>
      </c>
      <c r="B50">
        <v>2.64</v>
      </c>
      <c r="C50">
        <v>-4.8540000000000001</v>
      </c>
      <c r="D50" cm="1">
        <f t="array" ref="D50">(rad*mass*grav)/-C50-mass*rad^2</f>
        <v>7.3371874690976511E-4</v>
      </c>
    </row>
    <row r="51" spans="1:4" x14ac:dyDescent="0.25">
      <c r="A51" s="1">
        <v>45691.633564814816</v>
      </c>
      <c r="B51">
        <v>2.68</v>
      </c>
      <c r="C51">
        <v>-4.5810000000000004</v>
      </c>
      <c r="D51" cm="1">
        <f t="array" ref="D51">(rad*mass*grav)/-C51-mass*rad^2</f>
        <v>7.7798053290766207E-4</v>
      </c>
    </row>
    <row r="52" spans="1:4" x14ac:dyDescent="0.25">
      <c r="A52" s="1">
        <v>45691.633564814816</v>
      </c>
      <c r="B52">
        <v>2.72</v>
      </c>
      <c r="C52">
        <v>-4.4180000000000001</v>
      </c>
      <c r="D52" cm="1">
        <f t="array" ref="D52">(rad*mass*grav)/-C52-mass*rad^2</f>
        <v>8.0701594216840201E-4</v>
      </c>
    </row>
    <row r="53" spans="1:4" x14ac:dyDescent="0.25">
      <c r="A53" s="1">
        <v>45691.633564814816</v>
      </c>
      <c r="B53">
        <v>2.76</v>
      </c>
      <c r="C53">
        <v>-4.3630000000000004</v>
      </c>
      <c r="D53" cm="1">
        <f t="array" ref="D53">(rad*mass*grav)/-C53-mass*rad^2</f>
        <v>8.1730269052257619E-4</v>
      </c>
    </row>
    <row r="54" spans="1:4" x14ac:dyDescent="0.25">
      <c r="A54" s="1">
        <v>45691.633564814816</v>
      </c>
      <c r="B54">
        <v>2.8</v>
      </c>
      <c r="C54">
        <v>-4.4720000000000004</v>
      </c>
      <c r="D54" cm="1">
        <f t="array" ref="D54">(rad*mass*grav)/-C54-mass*rad^2</f>
        <v>7.9716239490160992E-4</v>
      </c>
    </row>
    <row r="55" spans="1:4" x14ac:dyDescent="0.25">
      <c r="A55" s="1">
        <v>45691.633564814816</v>
      </c>
      <c r="B55">
        <v>2.84</v>
      </c>
      <c r="C55">
        <v>-4.8</v>
      </c>
      <c r="D55" cm="1">
        <f t="array" ref="D55">(rad*mass*grav)/-C55-mass*rad^2</f>
        <v>7.4207437500000003E-4</v>
      </c>
    </row>
    <row r="56" spans="1:4" x14ac:dyDescent="0.25">
      <c r="A56" s="1">
        <v>45691.633564814816</v>
      </c>
      <c r="B56">
        <v>2.88</v>
      </c>
      <c r="C56">
        <v>-5.181</v>
      </c>
      <c r="D56" cm="1">
        <f t="array" ref="D56">(rad*mass*grav)/-C56-mass*rad^2</f>
        <v>6.8684164664157502E-4</v>
      </c>
    </row>
    <row r="57" spans="1:4" x14ac:dyDescent="0.25">
      <c r="A57" s="1">
        <v>45691.633564814816</v>
      </c>
      <c r="B57">
        <v>2.92</v>
      </c>
      <c r="C57">
        <v>-5.5090000000000003</v>
      </c>
      <c r="D57" cm="1">
        <f t="array" ref="D57">(rad*mass*grav)/-C57-mass*rad^2</f>
        <v>6.4541175190597198E-4</v>
      </c>
    </row>
    <row r="58" spans="1:4" x14ac:dyDescent="0.25">
      <c r="A58" s="1">
        <v>45691.633564814816</v>
      </c>
      <c r="B58">
        <v>2.96</v>
      </c>
      <c r="C58">
        <v>-5.7270000000000003</v>
      </c>
      <c r="D58" cm="1">
        <f t="array" ref="D58">(rad*mass*grav)/-C58-mass*rad^2</f>
        <v>6.2050122642744892E-4</v>
      </c>
    </row>
    <row r="59" spans="1:4" x14ac:dyDescent="0.25">
      <c r="A59" s="1">
        <v>45691.633576388886</v>
      </c>
      <c r="B59">
        <v>3</v>
      </c>
      <c r="C59">
        <v>-5.6180000000000003</v>
      </c>
      <c r="D59" cm="1">
        <f t="array" ref="D59">(rad*mass*grav)/-C59-mass*rad^2</f>
        <v>6.3271483312566745E-4</v>
      </c>
    </row>
    <row r="60" spans="1:4" x14ac:dyDescent="0.25">
      <c r="A60" s="1">
        <v>45691.633576388886</v>
      </c>
      <c r="B60">
        <v>3.04</v>
      </c>
      <c r="C60">
        <v>-5.181</v>
      </c>
      <c r="D60" cm="1">
        <f t="array" ref="D60">(rad*mass*grav)/-C60-mass*rad^2</f>
        <v>6.8684164664157502E-4</v>
      </c>
    </row>
    <row r="61" spans="1:4" x14ac:dyDescent="0.25">
      <c r="A61" s="1">
        <v>45691.633576388886</v>
      </c>
      <c r="B61">
        <v>3.08</v>
      </c>
      <c r="C61">
        <v>-4.5270000000000001</v>
      </c>
      <c r="D61" cm="1">
        <f t="array" ref="D61">(rad*mass*grav)/-C61-mass*rad^2</f>
        <v>7.8736801938369776E-4</v>
      </c>
    </row>
    <row r="62" spans="1:4" x14ac:dyDescent="0.25">
      <c r="A62" s="1">
        <v>45691.633576388886</v>
      </c>
      <c r="B62">
        <v>3.12</v>
      </c>
      <c r="C62">
        <v>-3.9820000000000002</v>
      </c>
      <c r="D62" cm="1">
        <f t="array" ref="D62">(rad*mass*grav)/-C62-mass*rad^2</f>
        <v>8.9636415557508783E-4</v>
      </c>
    </row>
    <row r="63" spans="1:4" x14ac:dyDescent="0.25">
      <c r="A63" s="1">
        <v>45691.633576388886</v>
      </c>
      <c r="B63">
        <v>3.16</v>
      </c>
      <c r="C63">
        <v>-3.7090000000000001</v>
      </c>
      <c r="D63" cm="1">
        <f t="array" ref="D63">(rad*mass*grav)/-C63-mass*rad^2</f>
        <v>9.6300352959018598E-4</v>
      </c>
    </row>
    <row r="64" spans="1:4" x14ac:dyDescent="0.25">
      <c r="A64" s="1">
        <v>45691.633576388886</v>
      </c>
      <c r="B64">
        <v>3.2</v>
      </c>
      <c r="C64">
        <v>-3.6539999999999999</v>
      </c>
      <c r="D64" cm="1">
        <f t="array" ref="D64">(rad*mass*grav)/-C64-mass*rad^2</f>
        <v>9.7763418103448277E-4</v>
      </c>
    </row>
    <row r="65" spans="1:4" x14ac:dyDescent="0.25">
      <c r="A65" s="1">
        <v>45691.633576388886</v>
      </c>
      <c r="B65">
        <v>3.24</v>
      </c>
      <c r="C65">
        <v>-3.927</v>
      </c>
      <c r="D65" cm="1">
        <f t="array" ref="D65">(rad*mass*grav)/-C65-mass*rad^2</f>
        <v>9.0904437834224601E-4</v>
      </c>
    </row>
    <row r="66" spans="1:4" x14ac:dyDescent="0.25">
      <c r="A66" s="1">
        <v>45691.633576388886</v>
      </c>
      <c r="B66">
        <v>3.28</v>
      </c>
      <c r="C66">
        <v>-4.4720000000000004</v>
      </c>
      <c r="D66" cm="1">
        <f t="array" ref="D66">(rad*mass*grav)/-C66-mass*rad^2</f>
        <v>7.9716239490160992E-4</v>
      </c>
    </row>
    <row r="67" spans="1:4" x14ac:dyDescent="0.25">
      <c r="A67" s="1">
        <v>45691.633576388886</v>
      </c>
      <c r="B67">
        <v>3.32</v>
      </c>
      <c r="C67">
        <v>-5.0720000000000001</v>
      </c>
      <c r="D67" cm="1">
        <f t="array" ref="D67">(rad*mass*grav)/-C67-mass*rad^2</f>
        <v>7.0179573738170351E-4</v>
      </c>
    </row>
    <row r="68" spans="1:4" x14ac:dyDescent="0.25">
      <c r="A68" s="1">
        <v>45691.633576388886</v>
      </c>
      <c r="B68">
        <v>3.36</v>
      </c>
      <c r="C68">
        <v>-5.4</v>
      </c>
      <c r="D68" cm="1">
        <f t="array" ref="D68">(rad*mass*grav)/-C68-mass*rad^2</f>
        <v>6.5862124999999994E-4</v>
      </c>
    </row>
    <row r="69" spans="1:4" x14ac:dyDescent="0.25">
      <c r="A69" s="1">
        <v>45691.633576388886</v>
      </c>
      <c r="B69">
        <v>3.4</v>
      </c>
      <c r="C69">
        <v>-5.2910000000000004</v>
      </c>
      <c r="D69" cm="1">
        <f t="array" ref="D69">(rad*mass*grav)/-C69-mass*rad^2</f>
        <v>6.7237500637875637E-4</v>
      </c>
    </row>
    <row r="70" spans="1:4" x14ac:dyDescent="0.25">
      <c r="A70" s="1">
        <v>45691.633576388886</v>
      </c>
      <c r="B70">
        <v>3.44</v>
      </c>
      <c r="C70">
        <v>-4.8540000000000001</v>
      </c>
      <c r="D70" cm="1">
        <f t="array" ref="D70">(rad*mass*grav)/-C70-mass*rad^2</f>
        <v>7.3371874690976511E-4</v>
      </c>
    </row>
    <row r="71" spans="1:4" x14ac:dyDescent="0.25">
      <c r="A71" s="1">
        <v>45691.633576388886</v>
      </c>
      <c r="B71">
        <v>3.48</v>
      </c>
      <c r="C71">
        <v>-4.3090000000000002</v>
      </c>
      <c r="D71" cm="1">
        <f t="array" ref="D71">(rad*mass*grav)/-C71-mass*rad^2</f>
        <v>8.2765788843119047E-4</v>
      </c>
    </row>
    <row r="72" spans="1:4" x14ac:dyDescent="0.25">
      <c r="A72" s="1">
        <v>45691.633576388886</v>
      </c>
      <c r="B72">
        <v>3.52</v>
      </c>
      <c r="C72">
        <v>-3.7090000000000001</v>
      </c>
      <c r="D72" cm="1">
        <f t="array" ref="D72">(rad*mass*grav)/-C72-mass*rad^2</f>
        <v>9.6300352959018598E-4</v>
      </c>
    </row>
    <row r="73" spans="1:4" x14ac:dyDescent="0.25">
      <c r="A73" s="1">
        <v>45691.633576388886</v>
      </c>
      <c r="B73">
        <v>3.56</v>
      </c>
      <c r="C73">
        <v>-3.218</v>
      </c>
      <c r="D73" cm="1">
        <f t="array" ref="D73">(rad*mass*grav)/-C73-mass*rad^2</f>
        <v>1.1113116633001863E-3</v>
      </c>
    </row>
    <row r="74" spans="1:4" x14ac:dyDescent="0.25">
      <c r="A74" s="1">
        <v>45691.633576388886</v>
      </c>
      <c r="B74">
        <v>3.6</v>
      </c>
      <c r="C74">
        <v>-3.0539999999999998</v>
      </c>
      <c r="D74" cm="1">
        <f t="array" ref="D74">(rad*mass*grav)/-C74-mass*rad^2</f>
        <v>1.1714726743614931E-3</v>
      </c>
    </row>
    <row r="75" spans="1:4" x14ac:dyDescent="0.25">
      <c r="A75" s="1">
        <v>45691.633576388886</v>
      </c>
      <c r="B75">
        <v>3.64</v>
      </c>
      <c r="C75">
        <v>-3.3820000000000001</v>
      </c>
      <c r="D75" cm="1">
        <f t="array" ref="D75">(rad*mass*grav)/-C75-mass*rad^2</f>
        <v>1.0569853097279714E-3</v>
      </c>
    </row>
    <row r="76" spans="1:4" x14ac:dyDescent="0.25">
      <c r="A76" s="1">
        <v>45691.633576388886</v>
      </c>
      <c r="B76">
        <v>3.68</v>
      </c>
      <c r="C76">
        <v>-4.2</v>
      </c>
      <c r="D76" cm="1">
        <f t="array" ref="D76">(rad*mass*grav)/-C76-mass*rad^2</f>
        <v>8.4937125E-4</v>
      </c>
    </row>
    <row r="77" spans="1:4" x14ac:dyDescent="0.25">
      <c r="A77" s="1">
        <v>45691.633576388886</v>
      </c>
      <c r="B77">
        <v>3.72</v>
      </c>
      <c r="C77">
        <v>-5.0179999999999998</v>
      </c>
      <c r="D77" cm="1">
        <f t="array" ref="D77">(rad*mass*grav)/-C77-mass*rad^2</f>
        <v>7.0944483509366289E-4</v>
      </c>
    </row>
    <row r="78" spans="1:4" x14ac:dyDescent="0.25">
      <c r="A78" s="1">
        <v>45691.633576388886</v>
      </c>
      <c r="B78">
        <v>3.76</v>
      </c>
      <c r="C78">
        <v>-5.3449999999999998</v>
      </c>
      <c r="D78" cm="1">
        <f t="array" ref="D78">(rad*mass*grav)/-C78-mass*rad^2</f>
        <v>6.654911050046773E-4</v>
      </c>
    </row>
    <row r="79" spans="1:4" x14ac:dyDescent="0.25">
      <c r="A79" s="1">
        <v>45691.633576388886</v>
      </c>
      <c r="B79">
        <v>3.8</v>
      </c>
      <c r="C79">
        <v>-4.9630000000000001</v>
      </c>
      <c r="D79" cm="1">
        <f t="array" ref="D79">(rad*mass*grav)/-C79-mass*rad^2</f>
        <v>7.1740668723554307E-4</v>
      </c>
    </row>
    <row r="80" spans="1:4" x14ac:dyDescent="0.25">
      <c r="A80" s="1">
        <v>45691.633576388886</v>
      </c>
      <c r="B80">
        <v>3.84</v>
      </c>
      <c r="C80">
        <v>-4.2</v>
      </c>
      <c r="D80" cm="1">
        <f t="array" ref="D80">(rad*mass*grav)/-C80-mass*rad^2</f>
        <v>8.4937125E-4</v>
      </c>
    </row>
    <row r="81" spans="1:4" x14ac:dyDescent="0.25">
      <c r="A81" s="1">
        <v>45691.633576388886</v>
      </c>
      <c r="B81">
        <v>3.88</v>
      </c>
      <c r="C81">
        <v>-3.5449999999999999</v>
      </c>
      <c r="D81" cm="1">
        <f t="array" ref="D81">(rad*mass*grav)/-C81-mass*rad^2</f>
        <v>1.0079708621297601E-3</v>
      </c>
    </row>
    <row r="82" spans="1:4" x14ac:dyDescent="0.25">
      <c r="A82" s="1">
        <v>45691.633576388886</v>
      </c>
      <c r="B82">
        <v>3.92</v>
      </c>
      <c r="C82">
        <v>-3.0539999999999998</v>
      </c>
      <c r="D82" cm="1">
        <f t="array" ref="D82">(rad*mass*grav)/-C82-mass*rad^2</f>
        <v>1.1714726743614931E-3</v>
      </c>
    </row>
    <row r="83" spans="1:4" x14ac:dyDescent="0.25">
      <c r="A83" s="1">
        <v>45691.633576388886</v>
      </c>
      <c r="B83">
        <v>3.96</v>
      </c>
      <c r="C83">
        <v>-2.7269999999999999</v>
      </c>
      <c r="D83" cm="1">
        <f t="array" ref="D83">(rad*mass*grav)/-C83-mass*rad^2</f>
        <v>1.3130259529702971E-3</v>
      </c>
    </row>
    <row r="84" spans="1:4" x14ac:dyDescent="0.25">
      <c r="A84" s="1">
        <v>45691.633587962962</v>
      </c>
      <c r="B84">
        <v>4</v>
      </c>
      <c r="C84">
        <v>-2.9449999999999998</v>
      </c>
      <c r="D84" cm="1">
        <f t="array" ref="D84">(rad*mass*grav)/-C84-mass*rad^2</f>
        <v>1.2151643314940576E-3</v>
      </c>
    </row>
    <row r="85" spans="1:4" x14ac:dyDescent="0.25">
      <c r="A85" s="1">
        <v>45691.633587962962</v>
      </c>
      <c r="B85">
        <v>4.04</v>
      </c>
      <c r="C85">
        <v>-3.927</v>
      </c>
      <c r="D85" cm="1">
        <f t="array" ref="D85">(rad*mass*grav)/-C85-mass*rad^2</f>
        <v>9.0904437834224601E-4</v>
      </c>
    </row>
    <row r="86" spans="1:4" x14ac:dyDescent="0.25">
      <c r="A86" s="1">
        <v>45691.633587962962</v>
      </c>
      <c r="B86">
        <v>4.08</v>
      </c>
      <c r="C86">
        <v>-5.1269999999999998</v>
      </c>
      <c r="D86" cm="1">
        <f t="array" ref="D86">(rad*mass*grav)/-C86-mass*rad^2</f>
        <v>6.9417062097717965E-4</v>
      </c>
    </row>
    <row r="87" spans="1:4" x14ac:dyDescent="0.25">
      <c r="A87" s="1">
        <v>45691.633587962962</v>
      </c>
      <c r="B87">
        <v>4.12</v>
      </c>
      <c r="C87">
        <v>-5.5629999999999997</v>
      </c>
      <c r="D87" cm="1">
        <f t="array" ref="D87">(rad*mass*grav)/-C87-mass*rad^2</f>
        <v>6.3905934545209421E-4</v>
      </c>
    </row>
    <row r="88" spans="1:4" x14ac:dyDescent="0.25">
      <c r="A88" s="1">
        <v>45691.633587962962</v>
      </c>
      <c r="B88">
        <v>4.16</v>
      </c>
      <c r="C88">
        <v>-4.8540000000000001</v>
      </c>
      <c r="D88" cm="1">
        <f t="array" ref="D88">(rad*mass*grav)/-C88-mass*rad^2</f>
        <v>7.3371874690976511E-4</v>
      </c>
    </row>
    <row r="89" spans="1:4" x14ac:dyDescent="0.25">
      <c r="A89" s="1">
        <v>45691.633587962962</v>
      </c>
      <c r="B89">
        <v>4.2</v>
      </c>
      <c r="C89">
        <v>-3.6</v>
      </c>
      <c r="D89" cm="1">
        <f t="array" ref="D89">(rad*mass*grav)/-C89-mass*rad^2</f>
        <v>9.9243374999999985E-4</v>
      </c>
    </row>
    <row r="90" spans="1:4" x14ac:dyDescent="0.25">
      <c r="A90" s="1">
        <v>45691.633587962962</v>
      </c>
      <c r="B90">
        <v>4.24</v>
      </c>
      <c r="C90">
        <v>-2.6179999999999999</v>
      </c>
      <c r="D90" cm="1">
        <f t="array" ref="D90">(rad*mass*grav)/-C90-mass*rad^2</f>
        <v>1.3680684425133689E-3</v>
      </c>
    </row>
    <row r="91" spans="1:4" x14ac:dyDescent="0.25">
      <c r="A91" s="1">
        <v>45691.633587962962</v>
      </c>
      <c r="B91">
        <v>4.28</v>
      </c>
      <c r="C91">
        <v>-2.4</v>
      </c>
      <c r="D91" cm="1">
        <f t="array" ref="D91">(rad*mass*grav)/-C91-mass*rad^2</f>
        <v>1.4931524999999999E-3</v>
      </c>
    </row>
    <row r="92" spans="1:4" x14ac:dyDescent="0.25">
      <c r="A92" s="1">
        <v>45691.633587962962</v>
      </c>
      <c r="B92">
        <v>4.32</v>
      </c>
      <c r="C92">
        <v>-2.891</v>
      </c>
      <c r="D92" cm="1">
        <f t="array" ref="D92">(rad*mass*grav)/-C92-mass*rad^2</f>
        <v>1.2380301483050846E-3</v>
      </c>
    </row>
    <row r="93" spans="1:4" x14ac:dyDescent="0.25">
      <c r="A93" s="1">
        <v>45691.633587962962</v>
      </c>
      <c r="B93">
        <v>4.3600000000000003</v>
      </c>
      <c r="C93">
        <v>-3.7090000000000001</v>
      </c>
      <c r="D93" cm="1">
        <f t="array" ref="D93">(rad*mass*grav)/-C93-mass*rad^2</f>
        <v>9.6300352959018598E-4</v>
      </c>
    </row>
    <row r="94" spans="1:4" x14ac:dyDescent="0.25">
      <c r="A94" s="1">
        <v>45691.633587962962</v>
      </c>
      <c r="B94">
        <v>4.4000000000000004</v>
      </c>
      <c r="C94">
        <v>-4.3630000000000004</v>
      </c>
      <c r="D94" cm="1">
        <f t="array" ref="D94">(rad*mass*grav)/-C94-mass*rad^2</f>
        <v>8.1730269052257619E-4</v>
      </c>
    </row>
    <row r="95" spans="1:4" x14ac:dyDescent="0.25">
      <c r="A95" s="1">
        <v>45691.633587962962</v>
      </c>
      <c r="B95">
        <v>4.4400000000000004</v>
      </c>
      <c r="C95">
        <v>-4.5810000000000004</v>
      </c>
      <c r="D95" cm="1">
        <f t="array" ref="D95">(rad*mass*grav)/-C95-mass*rad^2</f>
        <v>7.7798053290766207E-4</v>
      </c>
    </row>
    <row r="96" spans="1:4" x14ac:dyDescent="0.25">
      <c r="A96" s="1">
        <v>45691.633587962962</v>
      </c>
      <c r="B96">
        <v>4.4800000000000004</v>
      </c>
      <c r="C96">
        <v>-4.2539999999999996</v>
      </c>
      <c r="D96" cm="1">
        <f t="array" ref="D96">(rad*mass*grav)/-C96-mass*rad^2</f>
        <v>8.38475093441467E-4</v>
      </c>
    </row>
    <row r="97" spans="1:4" x14ac:dyDescent="0.25">
      <c r="A97" s="1">
        <v>45691.633587962962</v>
      </c>
      <c r="B97">
        <v>4.5199999999999996</v>
      </c>
      <c r="C97">
        <v>-3.4359999999999999</v>
      </c>
      <c r="D97" cm="1">
        <f t="array" ref="D97">(rad*mass*grav)/-C97-mass*rad^2</f>
        <v>1.0402322802677531E-3</v>
      </c>
    </row>
    <row r="98" spans="1:4" x14ac:dyDescent="0.25">
      <c r="A98" s="1">
        <v>45691.633587962962</v>
      </c>
      <c r="B98">
        <v>4.5599999999999996</v>
      </c>
      <c r="C98">
        <v>-2.4</v>
      </c>
      <c r="D98" cm="1">
        <f t="array" ref="D98">(rad*mass*grav)/-C98-mass*rad^2</f>
        <v>1.4931524999999999E-3</v>
      </c>
    </row>
    <row r="99" spans="1:4" x14ac:dyDescent="0.25">
      <c r="A99" s="1">
        <v>45691.633587962962</v>
      </c>
      <c r="B99">
        <v>4.5999999999999996</v>
      </c>
      <c r="C99">
        <v>-1.6910000000000001</v>
      </c>
      <c r="D99" cm="1">
        <f t="array" ref="D99">(rad*mass*grav)/-C99-mass*rad^2</f>
        <v>2.122974369455943E-3</v>
      </c>
    </row>
    <row r="100" spans="1:4" x14ac:dyDescent="0.25">
      <c r="A100" s="1">
        <v>45691.633587962962</v>
      </c>
      <c r="B100">
        <v>4.6399999999999997</v>
      </c>
      <c r="C100">
        <v>-2.073</v>
      </c>
      <c r="D100" cm="1">
        <f t="array" ref="D100">(rad*mass*grav)/-C100-mass*rad^2</f>
        <v>1.7301062355282199E-3</v>
      </c>
    </row>
    <row r="101" spans="1:4" x14ac:dyDescent="0.25">
      <c r="A101" s="1">
        <v>45691.633587962962</v>
      </c>
      <c r="B101">
        <v>4.68</v>
      </c>
      <c r="C101">
        <v>-3.4359999999999999</v>
      </c>
      <c r="D101" cm="1">
        <f t="array" ref="D101">(rad*mass*grav)/-C101-mass*rad^2</f>
        <v>1.0402322802677531E-3</v>
      </c>
    </row>
    <row r="102" spans="1:4" x14ac:dyDescent="0.25">
      <c r="A102" s="1">
        <v>45691.633587962962</v>
      </c>
      <c r="B102">
        <v>4.72</v>
      </c>
      <c r="C102">
        <v>-4.6909999999999998</v>
      </c>
      <c r="D102" cm="1">
        <f t="array" ref="D102">(rad*mass*grav)/-C102-mass*rad^2</f>
        <v>7.5952641414410579E-4</v>
      </c>
    </row>
    <row r="103" spans="1:4" x14ac:dyDescent="0.25">
      <c r="A103" s="1">
        <v>45691.633587962962</v>
      </c>
      <c r="B103">
        <v>4.76</v>
      </c>
      <c r="C103">
        <v>-4.6909999999999998</v>
      </c>
      <c r="D103" cm="1">
        <f t="array" ref="D103">(rad*mass*grav)/-C103-mass*rad^2</f>
        <v>7.5952641414410579E-4</v>
      </c>
    </row>
    <row r="104" spans="1:4" x14ac:dyDescent="0.25">
      <c r="A104" s="1">
        <v>45691.633587962962</v>
      </c>
      <c r="B104">
        <v>4.8</v>
      </c>
      <c r="C104">
        <v>-3.4910000000000001</v>
      </c>
      <c r="D104" cm="1">
        <f t="array" ref="D104">(rad*mass*grav)/-C104-mass*rad^2</f>
        <v>1.0237017785018618E-3</v>
      </c>
    </row>
    <row r="105" spans="1:4" x14ac:dyDescent="0.25">
      <c r="A105" s="1">
        <v>45691.633587962962</v>
      </c>
      <c r="B105">
        <v>4.84</v>
      </c>
      <c r="C105">
        <v>-2.2909999999999999</v>
      </c>
      <c r="D105" cm="1">
        <f t="array" ref="D105">(rad*mass*grav)/-C105-mass*rad^2</f>
        <v>1.5646213045613269E-3</v>
      </c>
    </row>
    <row r="106" spans="1:4" x14ac:dyDescent="0.25">
      <c r="A106" s="1">
        <v>45691.633587962962</v>
      </c>
      <c r="B106">
        <v>4.88</v>
      </c>
      <c r="C106">
        <v>-1.8540000000000001</v>
      </c>
      <c r="D106" cm="1">
        <f t="array" ref="D106">(rad*mass*grav)/-C106-mass*rad^2</f>
        <v>1.9355350849514562E-3</v>
      </c>
    </row>
    <row r="107" spans="1:4" x14ac:dyDescent="0.25">
      <c r="A107" s="1">
        <v>45691.633587962962</v>
      </c>
      <c r="B107">
        <v>4.92</v>
      </c>
      <c r="C107">
        <v>-2.1819999999999999</v>
      </c>
      <c r="D107" cm="1">
        <f t="array" ref="D107">(rad*mass*grav)/-C107-mass*rad^2</f>
        <v>1.6432304388175984E-3</v>
      </c>
    </row>
    <row r="108" spans="1:4" x14ac:dyDescent="0.25">
      <c r="A108" s="1">
        <v>45691.633587962962</v>
      </c>
      <c r="B108">
        <v>4.96</v>
      </c>
      <c r="C108">
        <v>-2.9449999999999998</v>
      </c>
      <c r="D108" cm="1">
        <f t="array" ref="D108">(rad*mass*grav)/-C108-mass*rad^2</f>
        <v>1.2151643314940576E-3</v>
      </c>
    </row>
    <row r="109" spans="1:4" x14ac:dyDescent="0.25">
      <c r="A109" s="1">
        <v>45691.633599537039</v>
      </c>
      <c r="B109">
        <v>5</v>
      </c>
      <c r="C109">
        <v>-3.8719999999999999</v>
      </c>
      <c r="D109" cm="1">
        <f t="array" ref="D109">(rad*mass*grav)/-C109-mass*rad^2</f>
        <v>9.2208483471074387E-4</v>
      </c>
    </row>
    <row r="110" spans="1:4" x14ac:dyDescent="0.25">
      <c r="A110" s="1">
        <v>45691.633599537039</v>
      </c>
      <c r="B110">
        <v>5.04</v>
      </c>
      <c r="C110">
        <v>-4.2</v>
      </c>
      <c r="D110" cm="1">
        <f t="array" ref="D110">(rad*mass*grav)/-C110-mass*rad^2</f>
        <v>8.4937125E-4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5247A15C38DE40A573999B6070A975" ma:contentTypeVersion="11" ma:contentTypeDescription="Create a new document." ma:contentTypeScope="" ma:versionID="afb66a0050ffe63c0caaf523038e8bbd">
  <xsd:schema xmlns:xsd="http://www.w3.org/2001/XMLSchema" xmlns:xs="http://www.w3.org/2001/XMLSchema" xmlns:p="http://schemas.microsoft.com/office/2006/metadata/properties" xmlns:ns2="a5dae947-98e5-495e-bab1-cc2a6059ad3b" xmlns:ns3="101382ff-e895-4226-9b8b-208a50023ada" targetNamespace="http://schemas.microsoft.com/office/2006/metadata/properties" ma:root="true" ma:fieldsID="34e31e9107cc25fa3e8a352dd8873f5d" ns2:_="" ns3:_="">
    <xsd:import namespace="a5dae947-98e5-495e-bab1-cc2a6059ad3b"/>
    <xsd:import namespace="101382ff-e895-4226-9b8b-208a50023a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dae947-98e5-495e-bab1-cc2a6059ad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dcab841-b377-4e82-87b7-c4480f2663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1382ff-e895-4226-9b8b-208a50023ad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cad34b7-b5d1-438c-95c5-dcc7e7eb8d6f}" ma:internalName="TaxCatchAll" ma:showField="CatchAllData" ma:web="101382ff-e895-4226-9b8b-208a50023a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1382ff-e895-4226-9b8b-208a50023ada" xsi:nil="true"/>
    <lcf76f155ced4ddcb4097134ff3c332f xmlns="a5dae947-98e5-495e-bab1-cc2a6059ad3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C7E652-D433-4249-ADC4-AECA281273AD}"/>
</file>

<file path=customXml/itemProps2.xml><?xml version="1.0" encoding="utf-8"?>
<ds:datastoreItem xmlns:ds="http://schemas.openxmlformats.org/officeDocument/2006/customXml" ds:itemID="{324CC414-1F73-4B2C-8947-D83A5DD2D8D6}"/>
</file>

<file path=customXml/itemProps3.xml><?xml version="1.0" encoding="utf-8"?>
<ds:datastoreItem xmlns:ds="http://schemas.openxmlformats.org/officeDocument/2006/customXml" ds:itemID="{DAB142CA-651D-4229-BEF7-697608AE03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 2</vt:lpstr>
      <vt:lpstr>Run 3</vt:lpstr>
      <vt:lpstr>Run 4</vt:lpstr>
      <vt:lpstr>Run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 Shafer</dc:creator>
  <cp:lastModifiedBy>Trace Shafer</cp:lastModifiedBy>
  <dcterms:created xsi:type="dcterms:W3CDTF">2025-02-05T22:33:34Z</dcterms:created>
  <dcterms:modified xsi:type="dcterms:W3CDTF">2025-02-05T23:04:46Z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0x010100215247A15C38DE40A573999B6070A975</vt:lpwstr>
  </property>
</Properties>
</file>